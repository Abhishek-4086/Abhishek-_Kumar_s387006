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a4a779261742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Data" sheetId="1" r:id="R0f6535893d894f6e"/>
    <x:sheet xmlns:r="http://schemas.openxmlformats.org/officeDocument/2006/relationships" name="Customers" sheetId="2" r:id="R3fead4f7488b4b76"/>
    <x:sheet xmlns:r="http://schemas.openxmlformats.org/officeDocument/2006/relationships" name="Products" sheetId="3" r:id="R12a61f21db4f491a"/>
    <x:sheet xmlns:r="http://schemas.openxmlformats.org/officeDocument/2006/relationships" name="Targets" sheetId="4" r:id="R3a5b12388a924035"/>
    <x:sheet xmlns:r="http://schemas.openxmlformats.org/officeDocument/2006/relationships" name="Dashboard" sheetId="5" r:id="Recefb767a9624167"/>
    <x:sheet xmlns:r="http://schemas.openxmlformats.org/officeDocument/2006/relationships" name="ReadMe" sheetId="6" r:id="Rc77ca596234849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$#,##0.00"/>
    <x:numFmt numFmtId="202" formatCode="$#,##0"/>
    <x:numFmt numFmtId="203" formatCode="mmm"/>
    <x:numFmt numFmtId="204" formatCode="@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4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4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484bb6c1be4665" /><Relationship Type="http://schemas.openxmlformats.org/officeDocument/2006/relationships/theme" Target="/xl/theme/theme1.xml" Id="R6794662ca96c4b8a" /><Relationship Type="http://schemas.openxmlformats.org/officeDocument/2006/relationships/sharedStrings" Target="/xl/sharedStrings.xml" Id="R55a64817af4f43fb" /><Relationship Type="http://schemas.openxmlformats.org/officeDocument/2006/relationships/worksheet" Target="/xl/worksheets/sheet1.xml" Id="R0f6535893d894f6e" /><Relationship Type="http://schemas.openxmlformats.org/officeDocument/2006/relationships/worksheet" Target="/xl/worksheets/sheet2.xml" Id="R3fead4f7488b4b76" /><Relationship Type="http://schemas.openxmlformats.org/officeDocument/2006/relationships/worksheet" Target="/xl/worksheets/sheet3.xml" Id="R12a61f21db4f491a" /><Relationship Type="http://schemas.openxmlformats.org/officeDocument/2006/relationships/worksheet" Target="/xl/worksheets/sheet4.xml" Id="R3a5b12388a924035" /><Relationship Type="http://schemas.openxmlformats.org/officeDocument/2006/relationships/worksheet" Target="/xl/worksheets/sheet5.xml" Id="Recefb767a9624167" /><Relationship Type="http://schemas.openxmlformats.org/officeDocument/2006/relationships/worksheet" Target="/xl/worksheets/sheet6.xml" Id="Rc77ca5962348491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2df2b67cd484cd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Sales, Profit and Target</a:t>
            </a:r>
          </a:p>
        </c:rich>
      </c:tx>
    </c:title>
    <c:plotArea>
      <c:lineChart>
        <c:grouping val="standard"/>
        <c:ser>
          <c:idx val="0"/>
          <c:order val="0"/>
          <c:tx>
            <c:v>Sales</c:v>
          </c:tx>
          <c:marker>
            <c:symbol val="none"/>
          </c:marker>
          <c:cat>
            <c:strRef>
              <c:f>'Dashboard'!$A$12:$A$23</c:f>
              <c:strCache>
                <c:ptCount val="0"/>
              </c:strCache>
            </c:strRef>
          </c:cat>
          <c:val>
            <c:numRef>
              <c:f>'Dashboard'!$B$12:$B$23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Profit</c:v>
          </c:tx>
          <c:marker>
            <c:symbol val="none"/>
          </c:marker>
          <c:cat>
            <c:strRef>
              <c:f>'Dashboard'!$A$12:$A$23</c:f>
              <c:strCache>
                <c:ptCount val="0"/>
              </c:strCache>
            </c:strRef>
          </c:cat>
          <c:val>
            <c:numRef>
              <c:f>'Dashboard'!$C$12:$C$23</c:f>
              <c:numCache>
                <c:formatCode>$#,##0</c:formatCode>
                <c:ptCount val="0"/>
              </c:numCache>
            </c:numRef>
          </c:val>
        </c:ser>
        <c:ser>
          <c:idx val="2"/>
          <c:order val="2"/>
          <c:tx>
            <c:v>Target</c:v>
          </c:tx>
          <c:marker>
            <c:symbol val="none"/>
          </c:marker>
          <c:cat>
            <c:strRef>
              <c:f>'Dashboard'!$A$12:$A$23</c:f>
              <c:strCache>
                <c:ptCount val="0"/>
              </c:strCache>
            </c:strRef>
          </c:cat>
          <c:val>
            <c:numRef>
              <c:f>'Dashboard'!$D$12:$D$23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10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df2b67cd484cd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lesTable" displayName="SalesTable" ref="A1:P241" headerRowCount="1" totalsRowCount="0" totalsRowShown="0">
  <x:tableColumns count="16">
    <x:tableColumn id="1" name="OrderID"/>
    <x:tableColumn id="2" name="OrderDate"/>
    <x:tableColumn id="3" name="CustomerID"/>
    <x:tableColumn id="4" name="CustomerName"/>
    <x:tableColumn id="5" name="CustomerSegment"/>
    <x:tableColumn id="6" name="Region"/>
    <x:tableColumn id="7" name="ProductID"/>
    <x:tableColumn id="8" name="ProductName"/>
    <x:tableColumn id="9" name="Category"/>
    <x:tableColumn id="10" name="Quantity"/>
    <x:tableColumn id="11" name="UnitPrice"/>
    <x:tableColumn id="12" name="UnitCost"/>
    <x:tableColumn id="13" name="Sales"/>
    <x:tableColumn id="14" name="Cost"/>
    <x:tableColumn id="15" name="Profit"/>
    <x:tableColumn id="16" name="Targe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stomersTable" displayName="CustomersTable" ref="A1:E41" headerRowCount="1" totalsRowCount="0" totalsRowShown="0">
  <x:tableColumns count="5">
    <x:tableColumn id="1" name="CustomerID"/>
    <x:tableColumn id="2" name="CustomerName"/>
    <x:tableColumn id="3" name="CustomerSegment"/>
    <x:tableColumn id="4" name="City"/>
    <x:tableColumn id="5" name="Reg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sTable" displayName="ProductsTable" ref="A1:E13" headerRowCount="1" totalsRowCount="0" totalsRowShown="0">
  <x:tableColumns count="5">
    <x:tableColumn id="1" name="ProductID"/>
    <x:tableColumn id="2" name="ProductName"/>
    <x:tableColumn id="3" name="Category"/>
    <x:tableColumn id="4" name="UnitPrice"/>
    <x:tableColumn id="5" name="UnitCos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rgetsTable" displayName="TargetsTable" ref="A1:C49" headerRowCount="1" totalsRowCount="0" totalsRowShown="0">
  <x:tableColumns count="3">
    <x:tableColumn id="1" name="MonthStart"/>
    <x:tableColumn id="2" name="Region"/>
    <x:tableColumn id="3" name="SalesTarge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30ca6e7bd54b2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188b850e08448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d7e33d203484e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8a9865e88a54fa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66306ec1df6c4292" /></Relationships>
</file>

<file path=xl/worksheets/sheet1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11.130000114440918" hidden="0" customWidth="1"/>
    <x:col min="3" max="3" width="12" hidden="0" customWidth="1"/>
    <x:col min="4" max="4" width="18" hidden="0" customWidth="1"/>
    <x:col min="5" max="5" width="18" hidden="0" customWidth="1"/>
    <x:col min="6" max="6" width="8.25" hidden="0" customWidth="1"/>
    <x:col min="7" max="7" width="10.630000114440918" hidden="0" customWidth="1"/>
    <x:col min="8" max="8" width="18" hidden="0" customWidth="1"/>
    <x:col min="9" max="9" width="18" hidden="0" customWidth="1"/>
    <x:col min="10" max="10" width="9.75" hidden="0" customWidth="1"/>
    <x:col min="11" max="11" width="10.130000114440918" hidden="0" customWidth="1"/>
    <x:col min="12" max="12" width="9.630000114440918" hidden="0" customWidth="1"/>
    <x:col min="13" max="13" width="8" hidden="0" customWidth="1"/>
    <x:col min="14" max="14" width="8" hidden="0" customWidth="1"/>
    <x:col min="15" max="15" width="8" hidden="0" customWidth="1"/>
    <x:col min="16" max="16" width="8.880000114440918" hidden="0" customWidth="1"/>
  </x:cols>
  <x:sheetData>
    <x:row r="1">
      <x:c r="A1" s="5" t="str">
        <x:v>OrderID</x:v>
      </x:c>
      <x:c r="B1" s="5" t="str">
        <x:v>OrderDate</x:v>
      </x:c>
      <x:c r="C1" s="5" t="str">
        <x:v>CustomerID</x:v>
      </x:c>
      <x:c r="D1" s="5" t="str">
        <x:v>CustomerName</x:v>
      </x:c>
      <x:c r="E1" s="5" t="str">
        <x:v>CustomerSegment</x:v>
      </x:c>
      <x:c r="F1" s="5" t="str">
        <x:v>Region</x:v>
      </x:c>
      <x:c r="G1" s="5" t="str">
        <x:v>ProductID</x:v>
      </x:c>
      <x:c r="H1" s="5" t="str">
        <x:v>ProductName</x:v>
      </x:c>
      <x:c r="I1" s="5" t="str">
        <x:v>Category</x:v>
      </x:c>
      <x:c r="J1" s="5" t="str">
        <x:v>Quantity</x:v>
      </x:c>
      <x:c r="K1" s="5" t="str">
        <x:v>UnitPrice</x:v>
      </x:c>
      <x:c r="L1" s="5" t="str">
        <x:v>UnitCost</x:v>
      </x:c>
      <x:c r="M1" s="5" t="str">
        <x:v>Sales</x:v>
      </x:c>
      <x:c r="N1" s="5" t="str">
        <x:v>Cost</x:v>
      </x:c>
      <x:c r="O1" s="5" t="str">
        <x:v>Profit</x:v>
      </x:c>
      <x:c r="P1" s="5" t="str">
        <x:v>Target</x:v>
      </x:c>
    </x:row>
    <x:row r="2">
      <x:c r="A2" t="str">
        <x:v>O0001</x:v>
      </x:c>
      <x:c r="B2" s="10" t="n">
        <x:v>46138</x:v>
      </x:c>
      <x:c r="C2" t="str">
        <x:v>C008</x:v>
      </x:c>
      <x:c r="D2" t="str">
        <x:v>Customer 08</x:v>
      </x:c>
      <x:c r="E2" t="str">
        <x:v>Community</x:v>
      </x:c>
      <x:c r="F2" t="str">
        <x:v>West</x:v>
      </x:c>
      <x:c r="G2" t="str">
        <x:v>P009</x:v>
      </x:c>
      <x:c r="H2" t="str">
        <x:v>Cloud Starter Plan</x:v>
      </x:c>
      <x:c r="I2" t="str">
        <x:v>Services</x:v>
      </x:c>
      <x:c r="J2" t="n">
        <x:v>4</x:v>
      </x:c>
      <x:c r="K2" s="12" t="n">
        <x:v>180</x:v>
      </x:c>
      <x:c r="L2" s="12" t="n">
        <x:v>65</x:v>
      </x:c>
      <x:c r="M2" s="12" t="n">
        <x:f>J2*K2</x:f>
        <x:v>720</x:v>
      </x:c>
      <x:c r="N2" s="12" t="n">
        <x:f>J2*L2</x:f>
        <x:v>260</x:v>
      </x:c>
      <x:c r="O2" s="12" t="n">
        <x:f>M2-N2</x:f>
        <x:v>460</x:v>
      </x:c>
      <x:c r="P2" s="12" t="n">
        <x:v>15350</x:v>
      </x:c>
    </x:row>
    <x:row r="3">
      <x:c r="A3" t="str">
        <x:v>O0002</x:v>
      </x:c>
      <x:c r="B3" s="10" t="n">
        <x:v>46359</x:v>
      </x:c>
      <x:c r="C3" t="str">
        <x:v>C038</x:v>
      </x:c>
      <x:c r="D3" t="str">
        <x:v>Customer 38</x:v>
      </x:c>
      <x:c r="E3" t="str">
        <x:v>Small Business</x:v>
      </x:c>
      <x:c r="F3" t="str">
        <x:v>South</x:v>
      </x:c>
      <x:c r="G3" t="str">
        <x:v>P008</x:v>
      </x:c>
      <x:c r="H3" t="str">
        <x:v>Headset</x:v>
      </x:c>
      <x:c r="I3" t="str">
        <x:v>Hardware</x:v>
      </x:c>
      <x:c r="J3" t="n">
        <x:v>3</x:v>
      </x:c>
      <x:c r="K3" s="12" t="n">
        <x:v>129</x:v>
      </x:c>
      <x:c r="L3" s="12" t="n">
        <x:v>72</x:v>
      </x:c>
      <x:c r="M3" s="12" t="n">
        <x:f>J3*K3</x:f>
        <x:v>387</x:v>
      </x:c>
      <x:c r="N3" s="12" t="n">
        <x:f>J3*L3</x:f>
        <x:v>216</x:v>
      </x:c>
      <x:c r="O3" s="12" t="n">
        <x:f>M3-N3</x:f>
        <x:v>171</x:v>
      </x:c>
      <x:c r="P3" s="12" t="n">
        <x:v>17950</x:v>
      </x:c>
    </x:row>
    <x:row r="4">
      <x:c r="A4" t="str">
        <x:v>O0003</x:v>
      </x:c>
      <x:c r="B4" s="10" t="n">
        <x:v>46216</x:v>
      </x:c>
      <x:c r="C4" t="str">
        <x:v>C040</x:v>
      </x:c>
      <x:c r="D4" t="str">
        <x:v>Customer 40</x:v>
      </x:c>
      <x:c r="E4" t="str">
        <x:v>Community</x:v>
      </x:c>
      <x:c r="F4" t="str">
        <x:v>West</x:v>
      </x:c>
      <x:c r="G4" t="str">
        <x:v>P005</x:v>
      </x:c>
      <x:c r="H4" t="str">
        <x:v>24-inch Monitor</x:v>
      </x:c>
      <x:c r="I4" t="str">
        <x:v>Hardware</x:v>
      </x:c>
      <x:c r="J4" t="n">
        <x:v>3</x:v>
      </x:c>
      <x:c r="K4" s="12" t="n">
        <x:v>249</x:v>
      </x:c>
      <x:c r="L4" s="12" t="n">
        <x:v>169</x:v>
      </x:c>
      <x:c r="M4" s="12" t="n">
        <x:f>J4*K4</x:f>
        <x:v>747</x:v>
      </x:c>
      <x:c r="N4" s="12" t="n">
        <x:f>J4*L4</x:f>
        <x:v>507</x:v>
      </x:c>
      <x:c r="O4" s="12" t="n">
        <x:f>M4-N4</x:f>
        <x:v>240</x:v>
      </x:c>
      <x:c r="P4" s="12" t="n">
        <x:v>16700</x:v>
      </x:c>
    </x:row>
    <x:row r="5">
      <x:c r="A5" t="str">
        <x:v>O0004</x:v>
      </x:c>
      <x:c r="B5" s="10" t="n">
        <x:v>46362</x:v>
      </x:c>
      <x:c r="C5" t="str">
        <x:v>C017</x:v>
      </x:c>
      <x:c r="D5" t="str">
        <x:v>Customer 17</x:v>
      </x:c>
      <x:c r="E5" t="str">
        <x:v>Student</x:v>
      </x:c>
      <x:c r="F5" t="str">
        <x:v>North</x:v>
      </x:c>
      <x:c r="G5" t="str">
        <x:v>P006</x:v>
      </x:c>
      <x:c r="H5" t="str">
        <x:v>27-inch Monitor</x:v>
      </x:c>
      <x:c r="I5" t="str">
        <x:v>Hardware</x:v>
      </x:c>
      <x:c r="J5" t="n">
        <x:v>3</x:v>
      </x:c>
      <x:c r="K5" s="12" t="n">
        <x:v>321.08</x:v>
      </x:c>
      <x:c r="L5" s="12" t="n">
        <x:v>235</x:v>
      </x:c>
      <x:c r="M5" s="12" t="n">
        <x:f>J5*K5</x:f>
        <x:v>963.24</x:v>
      </x:c>
      <x:c r="N5" s="12" t="n">
        <x:f>J5*L5</x:f>
        <x:v>705</x:v>
      </x:c>
      <x:c r="O5" s="12" t="n">
        <x:f>M5-N5</x:f>
        <x:v>258.24</x:v>
      </x:c>
      <x:c r="P5" s="12" t="n">
        <x:v>19950</x:v>
      </x:c>
    </x:row>
    <x:row r="6">
      <x:c r="A6" t="str">
        <x:v>O0005</x:v>
      </x:c>
      <x:c r="B6" s="10" t="n">
        <x:v>46223</x:v>
      </x:c>
      <x:c r="C6" t="str">
        <x:v>C017</x:v>
      </x:c>
      <x:c r="D6" t="str">
        <x:v>Customer 17</x:v>
      </x:c>
      <x:c r="E6" t="str">
        <x:v>Student</x:v>
      </x:c>
      <x:c r="F6" t="str">
        <x:v>North</x:v>
      </x:c>
      <x:c r="G6" t="str">
        <x:v>P012</x:v>
      </x:c>
      <x:c r="H6" t="str">
        <x:v>Dashboard Setup</x:v>
      </x:c>
      <x:c r="I6" t="str">
        <x:v>Services</x:v>
      </x:c>
      <x:c r="J6" t="n">
        <x:v>2</x:v>
      </x:c>
      <x:c r="K6" s="12" t="n">
        <x:v>450</x:v>
      </x:c>
      <x:c r="L6" s="12" t="n">
        <x:v>205</x:v>
      </x:c>
      <x:c r="M6" s="12" t="n">
        <x:f>J6*K6</x:f>
        <x:v>900</x:v>
      </x:c>
      <x:c r="N6" s="12" t="n">
        <x:f>J6*L6</x:f>
        <x:v>410</x:v>
      </x:c>
      <x:c r="O6" s="12" t="n">
        <x:f>M6-N6</x:f>
        <x:v>490</x:v>
      </x:c>
      <x:c r="P6" s="12" t="n">
        <x:v>17700</x:v>
      </x:c>
    </x:row>
    <x:row r="7">
      <x:c r="A7" t="str">
        <x:v>O0006</x:v>
      </x:c>
      <x:c r="B7" s="10" t="n">
        <x:v>46235</x:v>
      </x:c>
      <x:c r="C7" t="str">
        <x:v>C027</x:v>
      </x:c>
      <x:c r="D7" t="str">
        <x:v>Customer 27</x:v>
      </x:c>
      <x:c r="E7" t="str">
        <x:v>Corporate</x:v>
      </x:c>
      <x:c r="F7" t="str">
        <x:v>East</x:v>
      </x:c>
      <x:c r="G7" t="str">
        <x:v>P005</x:v>
      </x:c>
      <x:c r="H7" t="str">
        <x:v>24-inch Monitor</x:v>
      </x:c>
      <x:c r="I7" t="str">
        <x:v>Hardware</x:v>
      </x:c>
      <x:c r="J7" t="n">
        <x:v>4</x:v>
      </x:c>
      <x:c r="K7" s="12" t="n">
        <x:v>229.08</x:v>
      </x:c>
      <x:c r="L7" s="12" t="n">
        <x:v>169</x:v>
      </x:c>
      <x:c r="M7" s="12" t="n">
        <x:f>J7*K7</x:f>
        <x:v>916.32</x:v>
      </x:c>
      <x:c r="N7" s="12" t="n">
        <x:f>J7*L7</x:f>
        <x:v>676</x:v>
      </x:c>
      <x:c r="O7" s="12" t="n">
        <x:f>M7-N7</x:f>
        <x:v>240.32000000000005</x:v>
      </x:c>
      <x:c r="P7" s="12" t="n">
        <x:v>17650</x:v>
      </x:c>
    </x:row>
    <x:row r="8">
      <x:c r="A8" t="str">
        <x:v>O0007</x:v>
      </x:c>
      <x:c r="B8" s="10" t="n">
        <x:v>46364</x:v>
      </x:c>
      <x:c r="C8" t="str">
        <x:v>C001</x:v>
      </x:c>
      <x:c r="D8" t="str">
        <x:v>Customer 01</x:v>
      </x:c>
      <x:c r="E8" t="str">
        <x:v>Student</x:v>
      </x:c>
      <x:c r="F8" t="str">
        <x:v>North</x:v>
      </x:c>
      <x:c r="G8" t="str">
        <x:v>P003</x:v>
      </x:c>
      <x:c r="H8" t="str">
        <x:v>Keyboard</x:v>
      </x:c>
      <x:c r="I8" t="str">
        <x:v>Accessories</x:v>
      </x:c>
      <x:c r="J8" t="n">
        <x:v>1</x:v>
      </x:c>
      <x:c r="K8" s="12" t="n">
        <x:v>62</x:v>
      </x:c>
      <x:c r="L8" s="12" t="n">
        <x:v>33</x:v>
      </x:c>
      <x:c r="M8" s="12" t="n">
        <x:f>J8*K8</x:f>
        <x:v>62</x:v>
      </x:c>
      <x:c r="N8" s="12" t="n">
        <x:f>J8*L8</x:f>
        <x:v>33</x:v>
      </x:c>
      <x:c r="O8" s="12" t="n">
        <x:f>M8-N8</x:f>
        <x:v>29</x:v>
      </x:c>
      <x:c r="P8" s="12" t="n">
        <x:v>19950</x:v>
      </x:c>
    </x:row>
    <x:row r="9">
      <x:c r="A9" t="str">
        <x:v>O0008</x:v>
      </x:c>
      <x:c r="B9" s="10" t="n">
        <x:v>46303</x:v>
      </x:c>
      <x:c r="C9" t="str">
        <x:v>C001</x:v>
      </x:c>
      <x:c r="D9" t="str">
        <x:v>Customer 01</x:v>
      </x:c>
      <x:c r="E9" t="str">
        <x:v>Student</x:v>
      </x:c>
      <x:c r="F9" t="str">
        <x:v>North</x:v>
      </x:c>
      <x:c r="G9" t="str">
        <x:v>P001</x:v>
      </x:c>
      <x:c r="H9" t="str">
        <x:v>Laptop Stand</x:v>
      </x:c>
      <x:c r="I9" t="str">
        <x:v>Accessories</x:v>
      </x:c>
      <x:c r="J9" t="n">
        <x:v>5</x:v>
      </x:c>
      <x:c r="K9" s="12" t="n">
        <x:v>41.4</x:v>
      </x:c>
      <x:c r="L9" s="12" t="n">
        <x:v>23</x:v>
      </x:c>
      <x:c r="M9" s="12" t="n">
        <x:f>J9*K9</x:f>
        <x:v>207</x:v>
      </x:c>
      <x:c r="N9" s="12" t="n">
        <x:f>J9*L9</x:f>
        <x:v>115</x:v>
      </x:c>
      <x:c r="O9" s="12" t="n">
        <x:f>M9-N9</x:f>
        <x:v>92</x:v>
      </x:c>
      <x:c r="P9" s="12" t="n">
        <x:v>19050</x:v>
      </x:c>
    </x:row>
    <x:row r="10">
      <x:c r="A10" t="str">
        <x:v>O0009</x:v>
      </x:c>
      <x:c r="B10" s="10" t="n">
        <x:v>46271</x:v>
      </x:c>
      <x:c r="C10" t="str">
        <x:v>C003</x:v>
      </x:c>
      <x:c r="D10" t="str">
        <x:v>Customer 03</x:v>
      </x:c>
      <x:c r="E10" t="str">
        <x:v>Corporate</x:v>
      </x:c>
      <x:c r="F10" t="str">
        <x:v>East</x:v>
      </x:c>
      <x:c r="G10" t="str">
        <x:v>P004</x:v>
      </x:c>
      <x:c r="H10" t="str">
        <x:v>USB-C Hub</x:v>
      </x:c>
      <x:c r="I10" t="str">
        <x:v>Accessories</x:v>
      </x:c>
      <x:c r="J10" t="n">
        <x:v>3</x:v>
      </x:c>
      <x:c r="K10" s="12" t="n">
        <x:v>79</x:v>
      </x:c>
      <x:c r="L10" s="12" t="n">
        <x:v>44</x:v>
      </x:c>
      <x:c r="M10" s="12" t="n">
        <x:f>J10*K10</x:f>
        <x:v>237</x:v>
      </x:c>
      <x:c r="N10" s="12" t="n">
        <x:f>J10*L10</x:f>
        <x:v>132</x:v>
      </x:c>
      <x:c r="O10" s="12" t="n">
        <x:f>M10-N10</x:f>
        <x:v>105</x:v>
      </x:c>
      <x:c r="P10" s="12" t="n">
        <x:v>18100</x:v>
      </x:c>
    </x:row>
    <x:row r="11">
      <x:c r="A11" t="str">
        <x:v>O0010</x:v>
      </x:c>
      <x:c r="B11" s="10" t="n">
        <x:v>46131</x:v>
      </x:c>
      <x:c r="C11" t="str">
        <x:v>C011</x:v>
      </x:c>
      <x:c r="D11" t="str">
        <x:v>Customer 11</x:v>
      </x:c>
      <x:c r="E11" t="str">
        <x:v>Corporate</x:v>
      </x:c>
      <x:c r="F11" t="str">
        <x:v>East</x:v>
      </x:c>
      <x:c r="G11" t="str">
        <x:v>P006</x:v>
      </x:c>
      <x:c r="H11" t="str">
        <x:v>27-inch Monitor</x:v>
      </x:c>
      <x:c r="I11" t="str">
        <x:v>Hardware</x:v>
      </x:c>
      <x:c r="J11" t="n">
        <x:v>4</x:v>
      </x:c>
      <x:c r="K11" s="12" t="n">
        <x:v>349</x:v>
      </x:c>
      <x:c r="L11" s="12" t="n">
        <x:v>235</x:v>
      </x:c>
      <x:c r="M11" s="12" t="n">
        <x:f>J11*K11</x:f>
        <x:v>1396</x:v>
      </x:c>
      <x:c r="N11" s="12" t="n">
        <x:f>J11*L11</x:f>
        <x:v>940</x:v>
      </x:c>
      <x:c r="O11" s="12" t="n">
        <x:f>M11-N11</x:f>
        <x:v>456</x:v>
      </x:c>
      <x:c r="P11" s="12" t="n">
        <x:v>15850</x:v>
      </x:c>
    </x:row>
    <x:row r="12">
      <x:c r="A12" t="str">
        <x:v>O0011</x:v>
      </x:c>
      <x:c r="B12" s="10" t="n">
        <x:v>46247</x:v>
      </x:c>
      <x:c r="C12" t="str">
        <x:v>C027</x:v>
      </x:c>
      <x:c r="D12" t="str">
        <x:v>Customer 27</x:v>
      </x:c>
      <x:c r="E12" t="str">
        <x:v>Corporate</x:v>
      </x:c>
      <x:c r="F12" t="str">
        <x:v>East</x:v>
      </x:c>
      <x:c r="G12" t="str">
        <x:v>P007</x:v>
      </x:c>
      <x:c r="H12" t="str">
        <x:v>Webcam</x:v>
      </x:c>
      <x:c r="I12" t="str">
        <x:v>Hardware</x:v>
      </x:c>
      <x:c r="J12" t="n">
        <x:v>4</x:v>
      </x:c>
      <x:c r="K12" s="12" t="n">
        <x:v>100.28</x:v>
      </x:c>
      <x:c r="L12" s="12" t="n">
        <x:v>61</x:v>
      </x:c>
      <x:c r="M12" s="12" t="n">
        <x:f>J12*K12</x:f>
        <x:v>401.12</x:v>
      </x:c>
      <x:c r="N12" s="12" t="n">
        <x:f>J12*L12</x:f>
        <x:v>244</x:v>
      </x:c>
      <x:c r="O12" s="12" t="n">
        <x:f>M12-N12</x:f>
        <x:v>157.12</x:v>
      </x:c>
      <x:c r="P12" s="12" t="n">
        <x:v>17650</x:v>
      </x:c>
    </x:row>
    <x:row r="13">
      <x:c r="A13" t="str">
        <x:v>O0012</x:v>
      </x:c>
      <x:c r="B13" s="10" t="n">
        <x:v>46075</x:v>
      </x:c>
      <x:c r="C13" t="str">
        <x:v>C030</x:v>
      </x:c>
      <x:c r="D13" t="str">
        <x:v>Customer 30</x:v>
      </x:c>
      <x:c r="E13" t="str">
        <x:v>Small Business</x:v>
      </x:c>
      <x:c r="F13" t="str">
        <x:v>South</x:v>
      </x:c>
      <x:c r="G13" t="str">
        <x:v>P011</x:v>
      </x:c>
      <x:c r="H13" t="str">
        <x:v>Data Cleanup Service</x:v>
      </x:c>
      <x:c r="I13" t="str">
        <x:v>Services</x:v>
      </x:c>
      <x:c r="J13" t="n">
        <x:v>3</x:v>
      </x:c>
      <x:c r="K13" s="12" t="n">
        <x:v>320</x:v>
      </x:c>
      <x:c r="L13" s="12" t="n">
        <x:v>140</x:v>
      </x:c>
      <x:c r="M13" s="12" t="n">
        <x:f>J13*K13</x:f>
        <x:v>960</x:v>
      </x:c>
      <x:c r="N13" s="12" t="n">
        <x:f>J13*L13</x:f>
        <x:v>420</x:v>
      </x:c>
      <x:c r="O13" s="12" t="n">
        <x:f>M13-N13</x:f>
        <x:v>540</x:v>
      </x:c>
      <x:c r="P13" s="12" t="n">
        <x:v>13450</x:v>
      </x:c>
    </x:row>
    <x:row r="14">
      <x:c r="A14" t="str">
        <x:v>O0013</x:v>
      </x:c>
      <x:c r="B14" s="10" t="n">
        <x:v>46335</x:v>
      </x:c>
      <x:c r="C14" t="str">
        <x:v>C034</x:v>
      </x:c>
      <x:c r="D14" t="str">
        <x:v>Customer 34</x:v>
      </x:c>
      <x:c r="E14" t="str">
        <x:v>Small Business</x:v>
      </x:c>
      <x:c r="F14" t="str">
        <x:v>South</x:v>
      </x:c>
      <x:c r="G14" t="str">
        <x:v>P004</x:v>
      </x:c>
      <x:c r="H14" t="str">
        <x:v>USB-C Hub</x:v>
      </x:c>
      <x:c r="I14" t="str">
        <x:v>Accessories</x:v>
      </x:c>
      <x:c r="J14" t="n">
        <x:v>1</x:v>
      </x:c>
      <x:c r="K14" s="12" t="n">
        <x:v>79</x:v>
      </x:c>
      <x:c r="L14" s="12" t="n">
        <x:v>44</x:v>
      </x:c>
      <x:c r="M14" s="12" t="n">
        <x:f>J14*K14</x:f>
        <x:v>79</x:v>
      </x:c>
      <x:c r="N14" s="12" t="n">
        <x:f>J14*L14</x:f>
        <x:v>44</x:v>
      </x:c>
      <x:c r="O14" s="12" t="n">
        <x:f>M14-N14</x:f>
        <x:v>35</x:v>
      </x:c>
      <x:c r="P14" s="12" t="n">
        <x:v>17500</x:v>
      </x:c>
    </x:row>
    <x:row r="15">
      <x:c r="A15" t="str">
        <x:v>O0014</x:v>
      </x:c>
      <x:c r="B15" s="10" t="n">
        <x:v>46359</x:v>
      </x:c>
      <x:c r="C15" t="str">
        <x:v>C035</x:v>
      </x:c>
      <x:c r="D15" t="str">
        <x:v>Customer 35</x:v>
      </x:c>
      <x:c r="E15" t="str">
        <x:v>Corporate</x:v>
      </x:c>
      <x:c r="F15" t="str">
        <x:v>East</x:v>
      </x:c>
      <x:c r="G15" t="str">
        <x:v>P006</x:v>
      </x:c>
      <x:c r="H15" t="str">
        <x:v>27-inch Monitor</x:v>
      </x:c>
      <x:c r="I15" t="str">
        <x:v>Hardware</x:v>
      </x:c>
      <x:c r="J15" t="n">
        <x:v>3</x:v>
      </x:c>
      <x:c r="K15" s="12" t="n">
        <x:v>349</x:v>
      </x:c>
      <x:c r="L15" s="12" t="n">
        <x:v>235</x:v>
      </x:c>
      <x:c r="M15" s="12" t="n">
        <x:f>J15*K15</x:f>
        <x:v>1047</x:v>
      </x:c>
      <x:c r="N15" s="12" t="n">
        <x:f>J15*L15</x:f>
        <x:v>705</x:v>
      </x:c>
      <x:c r="O15" s="12" t="n">
        <x:f>M15-N15</x:f>
        <x:v>342</x:v>
      </x:c>
      <x:c r="P15" s="12" t="n">
        <x:v>19450</x:v>
      </x:c>
    </x:row>
    <x:row r="16">
      <x:c r="A16" t="str">
        <x:v>O0015</x:v>
      </x:c>
      <x:c r="B16" s="10" t="n">
        <x:v>46033</x:v>
      </x:c>
      <x:c r="C16" t="str">
        <x:v>C013</x:v>
      </x:c>
      <x:c r="D16" t="str">
        <x:v>Customer 13</x:v>
      </x:c>
      <x:c r="E16" t="str">
        <x:v>Student</x:v>
      </x:c>
      <x:c r="F16" t="str">
        <x:v>North</x:v>
      </x:c>
      <x:c r="G16" t="str">
        <x:v>P008</x:v>
      </x:c>
      <x:c r="H16" t="str">
        <x:v>Headset</x:v>
      </x:c>
      <x:c r="I16" t="str">
        <x:v>Hardware</x:v>
      </x:c>
      <x:c r="J16" t="n">
        <x:v>5</x:v>
      </x:c>
      <x:c r="K16" s="12" t="n">
        <x:v>129</x:v>
      </x:c>
      <x:c r="L16" s="12" t="n">
        <x:v>72</x:v>
      </x:c>
      <x:c r="M16" s="12" t="n">
        <x:f>J16*K16</x:f>
        <x:v>645</x:v>
      </x:c>
      <x:c r="N16" s="12" t="n">
        <x:f>J16*L16</x:f>
        <x:v>360</x:v>
      </x:c>
      <x:c r="O16" s="12" t="n">
        <x:f>M16-N16</x:f>
        <x:v>285</x:v>
      </x:c>
      <x:c r="P16" s="12" t="n">
        <x:v>15000</x:v>
      </x:c>
    </x:row>
    <x:row r="17">
      <x:c r="A17" t="str">
        <x:v>O0016</x:v>
      </x:c>
      <x:c r="B17" s="10" t="n">
        <x:v>46211</x:v>
      </x:c>
      <x:c r="C17" t="str">
        <x:v>C038</x:v>
      </x:c>
      <x:c r="D17" t="str">
        <x:v>Customer 38</x:v>
      </x:c>
      <x:c r="E17" t="str">
        <x:v>Small Business</x:v>
      </x:c>
      <x:c r="F17" t="str">
        <x:v>South</x:v>
      </x:c>
      <x:c r="G17" t="str">
        <x:v>P009</x:v>
      </x:c>
      <x:c r="H17" t="str">
        <x:v>Cloud Starter Plan</x:v>
      </x:c>
      <x:c r="I17" t="str">
        <x:v>Services</x:v>
      </x:c>
      <x:c r="J17" t="n">
        <x:v>5</x:v>
      </x:c>
      <x:c r="K17" s="12" t="n">
        <x:v>165.6</x:v>
      </x:c>
      <x:c r="L17" s="12" t="n">
        <x:v>65</x:v>
      </x:c>
      <x:c r="M17" s="12" t="n">
        <x:f>J17*K17</x:f>
        <x:v>828</x:v>
      </x:c>
      <x:c r="N17" s="12" t="n">
        <x:f>J17*L17</x:f>
        <x:v>325</x:v>
      </x:c>
      <x:c r="O17" s="12" t="n">
        <x:f>M17-N17</x:f>
        <x:v>503</x:v>
      </x:c>
      <x:c r="P17" s="12" t="n">
        <x:v>15700</x:v>
      </x:c>
    </x:row>
    <x:row r="18">
      <x:c r="A18" t="str">
        <x:v>O0017</x:v>
      </x:c>
      <x:c r="B18" s="10" t="n">
        <x:v>46143</x:v>
      </x:c>
      <x:c r="C18" t="str">
        <x:v>C003</x:v>
      </x:c>
      <x:c r="D18" t="str">
        <x:v>Customer 03</x:v>
      </x:c>
      <x:c r="E18" t="str">
        <x:v>Corporate</x:v>
      </x:c>
      <x:c r="F18" t="str">
        <x:v>East</x:v>
      </x:c>
      <x:c r="G18" t="str">
        <x:v>P003</x:v>
      </x:c>
      <x:c r="H18" t="str">
        <x:v>Keyboard</x:v>
      </x:c>
      <x:c r="I18" t="str">
        <x:v>Accessories</x:v>
      </x:c>
      <x:c r="J18" t="n">
        <x:v>5</x:v>
      </x:c>
      <x:c r="K18" s="12" t="n">
        <x:v>62</x:v>
      </x:c>
      <x:c r="L18" s="12" t="n">
        <x:v>33</x:v>
      </x:c>
      <x:c r="M18" s="12" t="n">
        <x:f>J18*K18</x:f>
        <x:v>310</x:v>
      </x:c>
      <x:c r="N18" s="12" t="n">
        <x:f>J18*L18</x:f>
        <x:v>165</x:v>
      </x:c>
      <x:c r="O18" s="12" t="n">
        <x:f>M18-N18</x:f>
        <x:v>145</x:v>
      </x:c>
      <x:c r="P18" s="12" t="n">
        <x:v>16300</x:v>
      </x:c>
    </x:row>
    <x:row r="19">
      <x:c r="A19" t="str">
        <x:v>O0018</x:v>
      </x:c>
      <x:c r="B19" s="10" t="n">
        <x:v>46134</x:v>
      </x:c>
      <x:c r="C19" t="str">
        <x:v>C006</x:v>
      </x:c>
      <x:c r="D19" t="str">
        <x:v>Customer 06</x:v>
      </x:c>
      <x:c r="E19" t="str">
        <x:v>Small Business</x:v>
      </x:c>
      <x:c r="F19" t="str">
        <x:v>South</x:v>
      </x:c>
      <x:c r="G19" t="str">
        <x:v>P011</x:v>
      </x:c>
      <x:c r="H19" t="str">
        <x:v>Data Cleanup Service</x:v>
      </x:c>
      <x:c r="I19" t="str">
        <x:v>Services</x:v>
      </x:c>
      <x:c r="J19" t="n">
        <x:v>4</x:v>
      </x:c>
      <x:c r="K19" s="12" t="n">
        <x:v>320</x:v>
      </x:c>
      <x:c r="L19" s="12" t="n">
        <x:v>140</x:v>
      </x:c>
      <x:c r="M19" s="12" t="n">
        <x:f>J19*K19</x:f>
        <x:v>1280</x:v>
      </x:c>
      <x:c r="N19" s="12" t="n">
        <x:f>J19*L19</x:f>
        <x:v>560</x:v>
      </x:c>
      <x:c r="O19" s="12" t="n">
        <x:f>M19-N19</x:f>
        <x:v>720</x:v>
      </x:c>
      <x:c r="P19" s="12" t="n">
        <x:v>14350</x:v>
      </x:c>
    </x:row>
    <x:row r="20">
      <x:c r="A20" t="str">
        <x:v>O0019</x:v>
      </x:c>
      <x:c r="B20" s="10" t="n">
        <x:v>46251</x:v>
      </x:c>
      <x:c r="C20" t="str">
        <x:v>C035</x:v>
      </x:c>
      <x:c r="D20" t="str">
        <x:v>Customer 35</x:v>
      </x:c>
      <x:c r="E20" t="str">
        <x:v>Corporate</x:v>
      </x:c>
      <x:c r="F20" t="str">
        <x:v>East</x:v>
      </x:c>
      <x:c r="G20" t="str">
        <x:v>P010</x:v>
      </x:c>
      <x:c r="H20" t="str">
        <x:v>Support Package</x:v>
      </x:c>
      <x:c r="I20" t="str">
        <x:v>Services</x:v>
      </x:c>
      <x:c r="J20" t="n">
        <x:v>1</x:v>
      </x:c>
      <x:c r="K20" s="12" t="n">
        <x:v>240</x:v>
      </x:c>
      <x:c r="L20" s="12" t="n">
        <x:v>95</x:v>
      </x:c>
      <x:c r="M20" s="12" t="n">
        <x:f>J20*K20</x:f>
        <x:v>240</x:v>
      </x:c>
      <x:c r="N20" s="12" t="n">
        <x:f>J20*L20</x:f>
        <x:v>95</x:v>
      </x:c>
      <x:c r="O20" s="12" t="n">
        <x:f>M20-N20</x:f>
        <x:v>145</x:v>
      </x:c>
      <x:c r="P20" s="12" t="n">
        <x:v>17650</x:v>
      </x:c>
    </x:row>
    <x:row r="21">
      <x:c r="A21" t="str">
        <x:v>O0020</x:v>
      </x:c>
      <x:c r="B21" s="10" t="n">
        <x:v>46319</x:v>
      </x:c>
      <x:c r="C21" t="str">
        <x:v>C022</x:v>
      </x:c>
      <x:c r="D21" t="str">
        <x:v>Customer 22</x:v>
      </x:c>
      <x:c r="E21" t="str">
        <x:v>Small Business</x:v>
      </x:c>
      <x:c r="F21" t="str">
        <x:v>South</x:v>
      </x:c>
      <x:c r="G21" t="str">
        <x:v>P007</x:v>
      </x:c>
      <x:c r="H21" t="str">
        <x:v>Webcam</x:v>
      </x:c>
      <x:c r="I21" t="str">
        <x:v>Hardware</x:v>
      </x:c>
      <x:c r="J21" t="n">
        <x:v>2</x:v>
      </x:c>
      <x:c r="K21" s="12" t="n">
        <x:v>109</x:v>
      </x:c>
      <x:c r="L21" s="12" t="n">
        <x:v>61</x:v>
      </x:c>
      <x:c r="M21" s="12" t="n">
        <x:f>J21*K21</x:f>
        <x:v>218</x:v>
      </x:c>
      <x:c r="N21" s="12" t="n">
        <x:f>J21*L21</x:f>
        <x:v>122</x:v>
      </x:c>
      <x:c r="O21" s="12" t="n">
        <x:f>M21-N21</x:f>
        <x:v>96</x:v>
      </x:c>
      <x:c r="P21" s="12" t="n">
        <x:v>17050</x:v>
      </x:c>
    </x:row>
    <x:row r="22">
      <x:c r="A22" t="str">
        <x:v>O0021</x:v>
      </x:c>
      <x:c r="B22" s="10" t="n">
        <x:v>46114</x:v>
      </x:c>
      <x:c r="C22" t="str">
        <x:v>C023</x:v>
      </x:c>
      <x:c r="D22" t="str">
        <x:v>Customer 23</x:v>
      </x:c>
      <x:c r="E22" t="str">
        <x:v>Corporate</x:v>
      </x:c>
      <x:c r="F22" t="str">
        <x:v>East</x:v>
      </x:c>
      <x:c r="G22" t="str">
        <x:v>P007</x:v>
      </x:c>
      <x:c r="H22" t="str">
        <x:v>Webcam</x:v>
      </x:c>
      <x:c r="I22" t="str">
        <x:v>Hardware</x:v>
      </x:c>
      <x:c r="J22" t="n">
        <x:v>4</x:v>
      </x:c>
      <x:c r="K22" s="12" t="n">
        <x:v>109</x:v>
      </x:c>
      <x:c r="L22" s="12" t="n">
        <x:v>61</x:v>
      </x:c>
      <x:c r="M22" s="12" t="n">
        <x:f>J22*K22</x:f>
        <x:v>436</x:v>
      </x:c>
      <x:c r="N22" s="12" t="n">
        <x:f>J22*L22</x:f>
        <x:v>244</x:v>
      </x:c>
      <x:c r="O22" s="12" t="n">
        <x:f>M22-N22</x:f>
        <x:v>192</x:v>
      </x:c>
      <x:c r="P22" s="12" t="n">
        <x:v>15850</x:v>
      </x:c>
    </x:row>
    <x:row r="23">
      <x:c r="A23" t="str">
        <x:v>O0022</x:v>
      </x:c>
      <x:c r="B23" s="10" t="n">
        <x:v>46215</x:v>
      </x:c>
      <x:c r="C23" t="str">
        <x:v>C018</x:v>
      </x:c>
      <x:c r="D23" t="str">
        <x:v>Customer 18</x:v>
      </x:c>
      <x:c r="E23" t="str">
        <x:v>Small Business</x:v>
      </x:c>
      <x:c r="F23" t="str">
        <x:v>South</x:v>
      </x:c>
      <x:c r="G23" t="str">
        <x:v>P002</x:v>
      </x:c>
      <x:c r="H23" t="str">
        <x:v>Wireless Mouse</x:v>
      </x:c>
      <x:c r="I23" t="str">
        <x:v>Accessories</x:v>
      </x:c>
      <x:c r="J23" t="n">
        <x:v>1</x:v>
      </x:c>
      <x:c r="K23" s="12" t="n">
        <x:v>38</x:v>
      </x:c>
      <x:c r="L23" s="12" t="n">
        <x:v>18</x:v>
      </x:c>
      <x:c r="M23" s="12" t="n">
        <x:f>J23*K23</x:f>
        <x:v>38</x:v>
      </x:c>
      <x:c r="N23" s="12" t="n">
        <x:f>J23*L23</x:f>
        <x:v>18</x:v>
      </x:c>
      <x:c r="O23" s="12" t="n">
        <x:f>M23-N23</x:f>
        <x:v>20</x:v>
      </x:c>
      <x:c r="P23" s="12" t="n">
        <x:v>15700</x:v>
      </x:c>
    </x:row>
    <x:row r="24">
      <x:c r="A24" t="str">
        <x:v>O0023</x:v>
      </x:c>
      <x:c r="B24" s="10" t="n">
        <x:v>46027</x:v>
      </x:c>
      <x:c r="C24" t="str">
        <x:v>C026</x:v>
      </x:c>
      <x:c r="D24" t="str">
        <x:v>Customer 26</x:v>
      </x:c>
      <x:c r="E24" t="str">
        <x:v>Small Business</x:v>
      </x:c>
      <x:c r="F24" t="str">
        <x:v>South</x:v>
      </x:c>
      <x:c r="G24" t="str">
        <x:v>P003</x:v>
      </x:c>
      <x:c r="H24" t="str">
        <x:v>Keyboard</x:v>
      </x:c>
      <x:c r="I24" t="str">
        <x:v>Accessories</x:v>
      </x:c>
      <x:c r="J24" t="n">
        <x:v>4</x:v>
      </x:c>
      <x:c r="K24" s="12" t="n">
        <x:v>62</x:v>
      </x:c>
      <x:c r="L24" s="12" t="n">
        <x:v>33</x:v>
      </x:c>
      <x:c r="M24" s="12" t="n">
        <x:f>J24*K24</x:f>
        <x:v>248</x:v>
      </x:c>
      <x:c r="N24" s="12" t="n">
        <x:f>J24*L24</x:f>
        <x:v>132</x:v>
      </x:c>
      <x:c r="O24" s="12" t="n">
        <x:f>M24-N24</x:f>
        <x:v>116</x:v>
      </x:c>
      <x:c r="P24" s="12" t="n">
        <x:v>13000</x:v>
      </x:c>
    </x:row>
    <x:row r="25">
      <x:c r="A25" t="str">
        <x:v>O0024</x:v>
      </x:c>
      <x:c r="B25" s="10" t="n">
        <x:v>46297</x:v>
      </x:c>
      <x:c r="C25" t="str">
        <x:v>C040</x:v>
      </x:c>
      <x:c r="D25" t="str">
        <x:v>Customer 40</x:v>
      </x:c>
      <x:c r="E25" t="str">
        <x:v>Community</x:v>
      </x:c>
      <x:c r="F25" t="str">
        <x:v>West</x:v>
      </x:c>
      <x:c r="G25" t="str">
        <x:v>P004</x:v>
      </x:c>
      <x:c r="H25" t="str">
        <x:v>USB-C Hub</x:v>
      </x:c>
      <x:c r="I25" t="str">
        <x:v>Accessories</x:v>
      </x:c>
      <x:c r="J25" t="n">
        <x:v>3</x:v>
      </x:c>
      <x:c r="K25" s="12" t="n">
        <x:v>72.68</x:v>
      </x:c>
      <x:c r="L25" s="12" t="n">
        <x:v>44</x:v>
      </x:c>
      <x:c r="M25" s="12" t="n">
        <x:f>J25*K25</x:f>
        <x:v>218.04000000000002</x:v>
      </x:c>
      <x:c r="N25" s="12" t="n">
        <x:f>J25*L25</x:f>
        <x:v>132</x:v>
      </x:c>
      <x:c r="O25" s="12" t="n">
        <x:f>M25-N25</x:f>
        <x:v>86.04000000000002</x:v>
      </x:c>
      <x:c r="P25" s="12" t="n">
        <x:v>18050</x:v>
      </x:c>
    </x:row>
    <x:row r="26">
      <x:c r="A26" t="str">
        <x:v>O0025</x:v>
      </x:c>
      <x:c r="B26" s="10" t="n">
        <x:v>46141</x:v>
      </x:c>
      <x:c r="C26" t="str">
        <x:v>C029</x:v>
      </x:c>
      <x:c r="D26" t="str">
        <x:v>Customer 29</x:v>
      </x:c>
      <x:c r="E26" t="str">
        <x:v>Student</x:v>
      </x:c>
      <x:c r="F26" t="str">
        <x:v>North</x:v>
      </x:c>
      <x:c r="G26" t="str">
        <x:v>P008</x:v>
      </x:c>
      <x:c r="H26" t="str">
        <x:v>Headset</x:v>
      </x:c>
      <x:c r="I26" t="str">
        <x:v>Hardware</x:v>
      </x:c>
      <x:c r="J26" t="n">
        <x:v>2</x:v>
      </x:c>
      <x:c r="K26" s="12" t="n">
        <x:v>129</x:v>
      </x:c>
      <x:c r="L26" s="12" t="n">
        <x:v>72</x:v>
      </x:c>
      <x:c r="M26" s="12" t="n">
        <x:f>J26*K26</x:f>
        <x:v>258</x:v>
      </x:c>
      <x:c r="N26" s="12" t="n">
        <x:f>J26*L26</x:f>
        <x:v>144</x:v>
      </x:c>
      <x:c r="O26" s="12" t="n">
        <x:f>M26-N26</x:f>
        <x:v>114</x:v>
      </x:c>
      <x:c r="P26" s="12" t="n">
        <x:v>16350</x:v>
      </x:c>
    </x:row>
    <x:row r="27">
      <x:c r="A27" t="str">
        <x:v>O0026</x:v>
      </x:c>
      <x:c r="B27" s="10" t="n">
        <x:v>46133</x:v>
      </x:c>
      <x:c r="C27" t="str">
        <x:v>C019</x:v>
      </x:c>
      <x:c r="D27" t="str">
        <x:v>Customer 19</x:v>
      </x:c>
      <x:c r="E27" t="str">
        <x:v>Corporate</x:v>
      </x:c>
      <x:c r="F27" t="str">
        <x:v>East</x:v>
      </x:c>
      <x:c r="G27" t="str">
        <x:v>P008</x:v>
      </x:c>
      <x:c r="H27" t="str">
        <x:v>Headset</x:v>
      </x:c>
      <x:c r="I27" t="str">
        <x:v>Hardware</x:v>
      </x:c>
      <x:c r="J27" t="n">
        <x:v>5</x:v>
      </x:c>
      <x:c r="K27" s="12" t="n">
        <x:v>129</x:v>
      </x:c>
      <x:c r="L27" s="12" t="n">
        <x:v>72</x:v>
      </x:c>
      <x:c r="M27" s="12" t="n">
        <x:f>J27*K27</x:f>
        <x:v>645</x:v>
      </x:c>
      <x:c r="N27" s="12" t="n">
        <x:f>J27*L27</x:f>
        <x:v>360</x:v>
      </x:c>
      <x:c r="O27" s="12" t="n">
        <x:f>M27-N27</x:f>
        <x:v>285</x:v>
      </x:c>
      <x:c r="P27" s="12" t="n">
        <x:v>15850</x:v>
      </x:c>
    </x:row>
    <x:row r="28">
      <x:c r="A28" t="str">
        <x:v>O0027</x:v>
      </x:c>
      <x:c r="B28" s="10" t="n">
        <x:v>46261</x:v>
      </x:c>
      <x:c r="C28" t="str">
        <x:v>C009</x:v>
      </x:c>
      <x:c r="D28" t="str">
        <x:v>Customer 09</x:v>
      </x:c>
      <x:c r="E28" t="str">
        <x:v>Student</x:v>
      </x:c>
      <x:c r="F28" t="str">
        <x:v>North</x:v>
      </x:c>
      <x:c r="G28" t="str">
        <x:v>P001</x:v>
      </x:c>
      <x:c r="H28" t="str">
        <x:v>Laptop Stand</x:v>
      </x:c>
      <x:c r="I28" t="str">
        <x:v>Accessories</x:v>
      </x:c>
      <x:c r="J28" t="n">
        <x:v>5</x:v>
      </x:c>
      <x:c r="K28" s="12" t="n">
        <x:v>45</x:v>
      </x:c>
      <x:c r="L28" s="12" t="n">
        <x:v>23</x:v>
      </x:c>
      <x:c r="M28" s="12" t="n">
        <x:f>J28*K28</x:f>
        <x:v>225</x:v>
      </x:c>
      <x:c r="N28" s="12" t="n">
        <x:f>J28*L28</x:f>
        <x:v>115</x:v>
      </x:c>
      <x:c r="O28" s="12" t="n">
        <x:f>M28-N28</x:f>
        <x:v>110</x:v>
      </x:c>
      <x:c r="P28" s="12" t="n">
        <x:v>18150</x:v>
      </x:c>
    </x:row>
    <x:row r="29">
      <x:c r="A29" t="str">
        <x:v>O0028</x:v>
      </x:c>
      <x:c r="B29" s="10" t="n">
        <x:v>46114</x:v>
      </x:c>
      <x:c r="C29" t="str">
        <x:v>C002</x:v>
      </x:c>
      <x:c r="D29" t="str">
        <x:v>Customer 02</x:v>
      </x:c>
      <x:c r="E29" t="str">
        <x:v>Small Business</x:v>
      </x:c>
      <x:c r="F29" t="str">
        <x:v>South</x:v>
      </x:c>
      <x:c r="G29" t="str">
        <x:v>P008</x:v>
      </x:c>
      <x:c r="H29" t="str">
        <x:v>Headset</x:v>
      </x:c>
      <x:c r="I29" t="str">
        <x:v>Hardware</x:v>
      </x:c>
      <x:c r="J29" t="n">
        <x:v>1</x:v>
      </x:c>
      <x:c r="K29" s="12" t="n">
        <x:v>129</x:v>
      </x:c>
      <x:c r="L29" s="12" t="n">
        <x:v>72</x:v>
      </x:c>
      <x:c r="M29" s="12" t="n">
        <x:f>J29*K29</x:f>
        <x:v>129</x:v>
      </x:c>
      <x:c r="N29" s="12" t="n">
        <x:f>J29*L29</x:f>
        <x:v>72</x:v>
      </x:c>
      <x:c r="O29" s="12" t="n">
        <x:f>M29-N29</x:f>
        <x:v>57</x:v>
      </x:c>
      <x:c r="P29" s="12" t="n">
        <x:v>14350</x:v>
      </x:c>
    </x:row>
    <x:row r="30">
      <x:c r="A30" t="str">
        <x:v>O0029</x:v>
      </x:c>
      <x:c r="B30" s="10" t="n">
        <x:v>46291</x:v>
      </x:c>
      <x:c r="C30" t="str">
        <x:v>C016</x:v>
      </x:c>
      <x:c r="D30" t="str">
        <x:v>Customer 16</x:v>
      </x:c>
      <x:c r="E30" t="str">
        <x:v>Community</x:v>
      </x:c>
      <x:c r="F30" t="str">
        <x:v>West</x:v>
      </x:c>
      <x:c r="G30" t="str">
        <x:v>P006</x:v>
      </x:c>
      <x:c r="H30" t="str">
        <x:v>27-inch Monitor</x:v>
      </x:c>
      <x:c r="I30" t="str">
        <x:v>Hardware</x:v>
      </x:c>
      <x:c r="J30" t="n">
        <x:v>1</x:v>
      </x:c>
      <x:c r="K30" s="12" t="n">
        <x:v>321.08</x:v>
      </x:c>
      <x:c r="L30" s="12" t="n">
        <x:v>235</x:v>
      </x:c>
      <x:c r="M30" s="12" t="n">
        <x:f>J30*K30</x:f>
        <x:v>321.08</x:v>
      </x:c>
      <x:c r="N30" s="12" t="n">
        <x:f>J30*L30</x:f>
        <x:v>235</x:v>
      </x:c>
      <x:c r="O30" s="12" t="n">
        <x:f>M30-N30</x:f>
        <x:v>86.07999999999998</x:v>
      </x:c>
      <x:c r="P30" s="12" t="n">
        <x:v>17600</x:v>
      </x:c>
    </x:row>
    <x:row r="31">
      <x:c r="A31" t="str">
        <x:v>O0030</x:v>
      </x:c>
      <x:c r="B31" s="10" t="n">
        <x:v>46217</x:v>
      </x:c>
      <x:c r="C31" t="str">
        <x:v>C004</x:v>
      </x:c>
      <x:c r="D31" t="str">
        <x:v>Customer 04</x:v>
      </x:c>
      <x:c r="E31" t="str">
        <x:v>Community</x:v>
      </x:c>
      <x:c r="F31" t="str">
        <x:v>West</x:v>
      </x:c>
      <x:c r="G31" t="str">
        <x:v>P002</x:v>
      </x:c>
      <x:c r="H31" t="str">
        <x:v>Wireless Mouse</x:v>
      </x:c>
      <x:c r="I31" t="str">
        <x:v>Accessories</x:v>
      </x:c>
      <x:c r="J31" t="n">
        <x:v>2</x:v>
      </x:c>
      <x:c r="K31" s="12" t="n">
        <x:v>38</x:v>
      </x:c>
      <x:c r="L31" s="12" t="n">
        <x:v>18</x:v>
      </x:c>
      <x:c r="M31" s="12" t="n">
        <x:f>J31*K31</x:f>
        <x:v>76</x:v>
      </x:c>
      <x:c r="N31" s="12" t="n">
        <x:f>J31*L31</x:f>
        <x:v>36</x:v>
      </x:c>
      <x:c r="O31" s="12" t="n">
        <x:f>M31-N31</x:f>
        <x:v>40</x:v>
      </x:c>
      <x:c r="P31" s="12" t="n">
        <x:v>16700</x:v>
      </x:c>
    </x:row>
    <x:row r="32">
      <x:c r="A32" t="str">
        <x:v>O0031</x:v>
      </x:c>
      <x:c r="B32" s="10" t="n">
        <x:v>46342</x:v>
      </x:c>
      <x:c r="C32" t="str">
        <x:v>C028</x:v>
      </x:c>
      <x:c r="D32" t="str">
        <x:v>Customer 28</x:v>
      </x:c>
      <x:c r="E32" t="str">
        <x:v>Community</x:v>
      </x:c>
      <x:c r="F32" t="str">
        <x:v>West</x:v>
      </x:c>
      <x:c r="G32" t="str">
        <x:v>P007</x:v>
      </x:c>
      <x:c r="H32" t="str">
        <x:v>Webcam</x:v>
      </x:c>
      <x:c r="I32" t="str">
        <x:v>Hardware</x:v>
      </x:c>
      <x:c r="J32" t="n">
        <x:v>2</x:v>
      </x:c>
      <x:c r="K32" s="12" t="n">
        <x:v>109</x:v>
      </x:c>
      <x:c r="L32" s="12" t="n">
        <x:v>61</x:v>
      </x:c>
      <x:c r="M32" s="12" t="n">
        <x:f>J32*K32</x:f>
        <x:v>218</x:v>
      </x:c>
      <x:c r="N32" s="12" t="n">
        <x:f>J32*L32</x:f>
        <x:v>122</x:v>
      </x:c>
      <x:c r="O32" s="12" t="n">
        <x:f>M32-N32</x:f>
        <x:v>96</x:v>
      </x:c>
      <x:c r="P32" s="12" t="n">
        <x:v>18500</x:v>
      </x:c>
    </x:row>
    <x:row r="33">
      <x:c r="A33" t="str">
        <x:v>O0032</x:v>
      </x:c>
      <x:c r="B33" s="10" t="n">
        <x:v>46349</x:v>
      </x:c>
      <x:c r="C33" t="str">
        <x:v>C016</x:v>
      </x:c>
      <x:c r="D33" t="str">
        <x:v>Customer 16</x:v>
      </x:c>
      <x:c r="E33" t="str">
        <x:v>Community</x:v>
      </x:c>
      <x:c r="F33" t="str">
        <x:v>West</x:v>
      </x:c>
      <x:c r="G33" t="str">
        <x:v>P010</x:v>
      </x:c>
      <x:c r="H33" t="str">
        <x:v>Support Package</x:v>
      </x:c>
      <x:c r="I33" t="str">
        <x:v>Services</x:v>
      </x:c>
      <x:c r="J33" t="n">
        <x:v>2</x:v>
      </x:c>
      <x:c r="K33" s="12" t="n">
        <x:v>240</x:v>
      </x:c>
      <x:c r="L33" s="12" t="n">
        <x:v>95</x:v>
      </x:c>
      <x:c r="M33" s="12" t="n">
        <x:f>J33*K33</x:f>
        <x:v>480</x:v>
      </x:c>
      <x:c r="N33" s="12" t="n">
        <x:f>J33*L33</x:f>
        <x:v>190</x:v>
      </x:c>
      <x:c r="O33" s="12" t="n">
        <x:f>M33-N33</x:f>
        <x:v>290</x:v>
      </x:c>
      <x:c r="P33" s="12" t="n">
        <x:v>18500</x:v>
      </x:c>
    </x:row>
    <x:row r="34">
      <x:c r="A34" t="str">
        <x:v>O0033</x:v>
      </x:c>
      <x:c r="B34" s="10" t="n">
        <x:v>46060</x:v>
      </x:c>
      <x:c r="C34" t="str">
        <x:v>C020</x:v>
      </x:c>
      <x:c r="D34" t="str">
        <x:v>Customer 20</x:v>
      </x:c>
      <x:c r="E34" t="str">
        <x:v>Community</x:v>
      </x:c>
      <x:c r="F34" t="str">
        <x:v>West</x:v>
      </x:c>
      <x:c r="G34" t="str">
        <x:v>P004</x:v>
      </x:c>
      <x:c r="H34" t="str">
        <x:v>USB-C Hub</x:v>
      </x:c>
      <x:c r="I34" t="str">
        <x:v>Accessories</x:v>
      </x:c>
      <x:c r="J34" t="n">
        <x:v>4</x:v>
      </x:c>
      <x:c r="K34" s="12" t="n">
        <x:v>79</x:v>
      </x:c>
      <x:c r="L34" s="12" t="n">
        <x:v>44</x:v>
      </x:c>
      <x:c r="M34" s="12" t="n">
        <x:f>J34*K34</x:f>
        <x:v>316</x:v>
      </x:c>
      <x:c r="N34" s="12" t="n">
        <x:f>J34*L34</x:f>
        <x:v>176</x:v>
      </x:c>
      <x:c r="O34" s="12" t="n">
        <x:f>M34-N34</x:f>
        <x:v>140</x:v>
      </x:c>
      <x:c r="P34" s="12" t="n">
        <x:v>14450</x:v>
      </x:c>
    </x:row>
    <x:row r="35">
      <x:c r="A35" t="str">
        <x:v>O0034</x:v>
      </x:c>
      <x:c r="B35" s="10" t="n">
        <x:v>46346</x:v>
      </x:c>
      <x:c r="C35" t="str">
        <x:v>C026</x:v>
      </x:c>
      <x:c r="D35" t="str">
        <x:v>Customer 26</x:v>
      </x:c>
      <x:c r="E35" t="str">
        <x:v>Small Business</x:v>
      </x:c>
      <x:c r="F35" t="str">
        <x:v>South</x:v>
      </x:c>
      <x:c r="G35" t="str">
        <x:v>P005</x:v>
      </x:c>
      <x:c r="H35" t="str">
        <x:v>24-inch Monitor</x:v>
      </x:c>
      <x:c r="I35" t="str">
        <x:v>Hardware</x:v>
      </x:c>
      <x:c r="J35" t="n">
        <x:v>5</x:v>
      </x:c>
      <x:c r="K35" s="12" t="n">
        <x:v>249</x:v>
      </x:c>
      <x:c r="L35" s="12" t="n">
        <x:v>169</x:v>
      </x:c>
      <x:c r="M35" s="12" t="n">
        <x:f>J35*K35</x:f>
        <x:v>1245</x:v>
      </x:c>
      <x:c r="N35" s="12" t="n">
        <x:f>J35*L35</x:f>
        <x:v>845</x:v>
      </x:c>
      <x:c r="O35" s="12" t="n">
        <x:f>M35-N35</x:f>
        <x:v>400</x:v>
      </x:c>
      <x:c r="P35" s="12" t="n">
        <x:v>17500</x:v>
      </x:c>
    </x:row>
    <x:row r="36">
      <x:c r="A36" t="str">
        <x:v>O0035</x:v>
      </x:c>
      <x:c r="B36" s="10" t="n">
        <x:v>46055</x:v>
      </x:c>
      <x:c r="C36" t="str">
        <x:v>C025</x:v>
      </x:c>
      <x:c r="D36" t="str">
        <x:v>Customer 25</x:v>
      </x:c>
      <x:c r="E36" t="str">
        <x:v>Student</x:v>
      </x:c>
      <x:c r="F36" t="str">
        <x:v>North</x:v>
      </x:c>
      <x:c r="G36" t="str">
        <x:v>P002</x:v>
      </x:c>
      <x:c r="H36" t="str">
        <x:v>Wireless Mouse</x:v>
      </x:c>
      <x:c r="I36" t="str">
        <x:v>Accessories</x:v>
      </x:c>
      <x:c r="J36" t="n">
        <x:v>2</x:v>
      </x:c>
      <x:c r="K36" s="12" t="n">
        <x:v>34.96</x:v>
      </x:c>
      <x:c r="L36" s="12" t="n">
        <x:v>18</x:v>
      </x:c>
      <x:c r="M36" s="12" t="n">
        <x:f>J36*K36</x:f>
        <x:v>69.92</x:v>
      </x:c>
      <x:c r="N36" s="12" t="n">
        <x:f>J36*L36</x:f>
        <x:v>36</x:v>
      </x:c>
      <x:c r="O36" s="12" t="n">
        <x:f>M36-N36</x:f>
        <x:v>33.92</x:v>
      </x:c>
      <x:c r="P36" s="12" t="n">
        <x:v>15450</x:v>
      </x:c>
    </x:row>
    <x:row r="37">
      <x:c r="A37" t="str">
        <x:v>O0036</x:v>
      </x:c>
      <x:c r="B37" s="10" t="n">
        <x:v>46147</x:v>
      </x:c>
      <x:c r="C37" t="str">
        <x:v>C006</x:v>
      </x:c>
      <x:c r="D37" t="str">
        <x:v>Customer 06</x:v>
      </x:c>
      <x:c r="E37" t="str">
        <x:v>Small Business</x:v>
      </x:c>
      <x:c r="F37" t="str">
        <x:v>South</x:v>
      </x:c>
      <x:c r="G37" t="str">
        <x:v>P003</x:v>
      </x:c>
      <x:c r="H37" t="str">
        <x:v>Keyboard</x:v>
      </x:c>
      <x:c r="I37" t="str">
        <x:v>Accessories</x:v>
      </x:c>
      <x:c r="J37" t="n">
        <x:v>4</x:v>
      </x:c>
      <x:c r="K37" s="12" t="n">
        <x:v>62</x:v>
      </x:c>
      <x:c r="L37" s="12" t="n">
        <x:v>33</x:v>
      </x:c>
      <x:c r="M37" s="12" t="n">
        <x:f>J37*K37</x:f>
        <x:v>248</x:v>
      </x:c>
      <x:c r="N37" s="12" t="n">
        <x:f>J37*L37</x:f>
        <x:v>132</x:v>
      </x:c>
      <x:c r="O37" s="12" t="n">
        <x:f>M37-N37</x:f>
        <x:v>116</x:v>
      </x:c>
      <x:c r="P37" s="12" t="n">
        <x:v>14800</x:v>
      </x:c>
    </x:row>
    <x:row r="38">
      <x:c r="A38" t="str">
        <x:v>O0037</x:v>
      </x:c>
      <x:c r="B38" s="10" t="n">
        <x:v>46341</x:v>
      </x:c>
      <x:c r="C38" t="str">
        <x:v>C035</x:v>
      </x:c>
      <x:c r="D38" t="str">
        <x:v>Customer 35</x:v>
      </x:c>
      <x:c r="E38" t="str">
        <x:v>Corporate</x:v>
      </x:c>
      <x:c r="F38" t="str">
        <x:v>East</x:v>
      </x:c>
      <x:c r="G38" t="str">
        <x:v>P010</x:v>
      </x:c>
      <x:c r="H38" t="str">
        <x:v>Support Package</x:v>
      </x:c>
      <x:c r="I38" t="str">
        <x:v>Services</x:v>
      </x:c>
      <x:c r="J38" t="n">
        <x:v>1</x:v>
      </x:c>
      <x:c r="K38" s="12" t="n">
        <x:v>240</x:v>
      </x:c>
      <x:c r="L38" s="12" t="n">
        <x:v>95</x:v>
      </x:c>
      <x:c r="M38" s="12" t="n">
        <x:f>J38*K38</x:f>
        <x:v>240</x:v>
      </x:c>
      <x:c r="N38" s="12" t="n">
        <x:f>J38*L38</x:f>
        <x:v>95</x:v>
      </x:c>
      <x:c r="O38" s="12" t="n">
        <x:f>M38-N38</x:f>
        <x:v>145</x:v>
      </x:c>
      <x:c r="P38" s="12" t="n">
        <x:v>19000</x:v>
      </x:c>
    </x:row>
    <x:row r="39">
      <x:c r="A39" t="str">
        <x:v>O0038</x:v>
      </x:c>
      <x:c r="B39" s="10" t="n">
        <x:v>46058</x:v>
      </x:c>
      <x:c r="C39" t="str">
        <x:v>C003</x:v>
      </x:c>
      <x:c r="D39" t="str">
        <x:v>Customer 03</x:v>
      </x:c>
      <x:c r="E39" t="str">
        <x:v>Corporate</x:v>
      </x:c>
      <x:c r="F39" t="str">
        <x:v>East</x:v>
      </x:c>
      <x:c r="G39" t="str">
        <x:v>P011</x:v>
      </x:c>
      <x:c r="H39" t="str">
        <x:v>Data Cleanup Service</x:v>
      </x:c>
      <x:c r="I39" t="str">
        <x:v>Services</x:v>
      </x:c>
      <x:c r="J39" t="n">
        <x:v>3</x:v>
      </x:c>
      <x:c r="K39" s="12" t="n">
        <x:v>320</x:v>
      </x:c>
      <x:c r="L39" s="12" t="n">
        <x:v>140</x:v>
      </x:c>
      <x:c r="M39" s="12" t="n">
        <x:f>J39*K39</x:f>
        <x:v>960</x:v>
      </x:c>
      <x:c r="N39" s="12" t="n">
        <x:f>J39*L39</x:f>
        <x:v>420</x:v>
      </x:c>
      <x:c r="O39" s="12" t="n">
        <x:f>M39-N39</x:f>
        <x:v>540</x:v>
      </x:c>
      <x:c r="P39" s="12" t="n">
        <x:v>14950</x:v>
      </x:c>
    </x:row>
    <x:row r="40">
      <x:c r="A40" t="str">
        <x:v>O0039</x:v>
      </x:c>
      <x:c r="B40" s="10" t="n">
        <x:v>46147</x:v>
      </x:c>
      <x:c r="C40" t="str">
        <x:v>C027</x:v>
      </x:c>
      <x:c r="D40" t="str">
        <x:v>Customer 27</x:v>
      </x:c>
      <x:c r="E40" t="str">
        <x:v>Corporate</x:v>
      </x:c>
      <x:c r="F40" t="str">
        <x:v>East</x:v>
      </x:c>
      <x:c r="G40" t="str">
        <x:v>P007</x:v>
      </x:c>
      <x:c r="H40" t="str">
        <x:v>Webcam</x:v>
      </x:c>
      <x:c r="I40" t="str">
        <x:v>Hardware</x:v>
      </x:c>
      <x:c r="J40" t="n">
        <x:v>4</x:v>
      </x:c>
      <x:c r="K40" s="12" t="n">
        <x:v>109</x:v>
      </x:c>
      <x:c r="L40" s="12" t="n">
        <x:v>61</x:v>
      </x:c>
      <x:c r="M40" s="12" t="n">
        <x:f>J40*K40</x:f>
        <x:v>436</x:v>
      </x:c>
      <x:c r="N40" s="12" t="n">
        <x:f>J40*L40</x:f>
        <x:v>244</x:v>
      </x:c>
      <x:c r="O40" s="12" t="n">
        <x:f>M40-N40</x:f>
        <x:v>192</x:v>
      </x:c>
      <x:c r="P40" s="12" t="n">
        <x:v>16300</x:v>
      </x:c>
    </x:row>
    <x:row r="41">
      <x:c r="A41" t="str">
        <x:v>O0040</x:v>
      </x:c>
      <x:c r="B41" s="10" t="n">
        <x:v>46287</x:v>
      </x:c>
      <x:c r="C41" t="str">
        <x:v>C022</x:v>
      </x:c>
      <x:c r="D41" t="str">
        <x:v>Customer 22</x:v>
      </x:c>
      <x:c r="E41" t="str">
        <x:v>Small Business</x:v>
      </x:c>
      <x:c r="F41" t="str">
        <x:v>South</x:v>
      </x:c>
      <x:c r="G41" t="str">
        <x:v>P006</x:v>
      </x:c>
      <x:c r="H41" t="str">
        <x:v>27-inch Monitor</x:v>
      </x:c>
      <x:c r="I41" t="str">
        <x:v>Hardware</x:v>
      </x:c>
      <x:c r="J41" t="n">
        <x:v>5</x:v>
      </x:c>
      <x:c r="K41" s="12" t="n">
        <x:v>349</x:v>
      </x:c>
      <x:c r="L41" s="12" t="n">
        <x:v>235</x:v>
      </x:c>
      <x:c r="M41" s="12" t="n">
        <x:f>J41*K41</x:f>
        <x:v>1745</x:v>
      </x:c>
      <x:c r="N41" s="12" t="n">
        <x:f>J41*L41</x:f>
        <x:v>1175</x:v>
      </x:c>
      <x:c r="O41" s="12" t="n">
        <x:f>M41-N41</x:f>
        <x:v>570</x:v>
      </x:c>
      <x:c r="P41" s="12" t="n">
        <x:v>16600</x:v>
      </x:c>
    </x:row>
    <x:row r="42">
      <x:c r="A42" t="str">
        <x:v>O0041</x:v>
      </x:c>
      <x:c r="B42" s="10" t="n">
        <x:v>46241</x:v>
      </x:c>
      <x:c r="C42" t="str">
        <x:v>C034</x:v>
      </x:c>
      <x:c r="D42" t="str">
        <x:v>Customer 34</x:v>
      </x:c>
      <x:c r="E42" t="str">
        <x:v>Small Business</x:v>
      </x:c>
      <x:c r="F42" t="str">
        <x:v>South</x:v>
      </x:c>
      <x:c r="G42" t="str">
        <x:v>P005</x:v>
      </x:c>
      <x:c r="H42" t="str">
        <x:v>24-inch Monitor</x:v>
      </x:c>
      <x:c r="I42" t="str">
        <x:v>Hardware</x:v>
      </x:c>
      <x:c r="J42" t="n">
        <x:v>3</x:v>
      </x:c>
      <x:c r="K42" s="12" t="n">
        <x:v>249</x:v>
      </x:c>
      <x:c r="L42" s="12" t="n">
        <x:v>169</x:v>
      </x:c>
      <x:c r="M42" s="12" t="n">
        <x:f>J42*K42</x:f>
        <x:v>747</x:v>
      </x:c>
      <x:c r="N42" s="12" t="n">
        <x:f>J42*L42</x:f>
        <x:v>507</x:v>
      </x:c>
      <x:c r="O42" s="12" t="n">
        <x:f>M42-N42</x:f>
        <x:v>240</x:v>
      </x:c>
      <x:c r="P42" s="12" t="n">
        <x:v>16150</x:v>
      </x:c>
    </x:row>
    <x:row r="43">
      <x:c r="A43" t="str">
        <x:v>O0042</x:v>
      </x:c>
      <x:c r="B43" s="10" t="n">
        <x:v>46169</x:v>
      </x:c>
      <x:c r="C43" t="str">
        <x:v>C027</x:v>
      </x:c>
      <x:c r="D43" t="str">
        <x:v>Customer 27</x:v>
      </x:c>
      <x:c r="E43" t="str">
        <x:v>Corporate</x:v>
      </x:c>
      <x:c r="F43" t="str">
        <x:v>East</x:v>
      </x:c>
      <x:c r="G43" t="str">
        <x:v>P002</x:v>
      </x:c>
      <x:c r="H43" t="str">
        <x:v>Wireless Mouse</x:v>
      </x:c>
      <x:c r="I43" t="str">
        <x:v>Accessories</x:v>
      </x:c>
      <x:c r="J43" t="n">
        <x:v>5</x:v>
      </x:c>
      <x:c r="K43" s="12" t="n">
        <x:v>34.96</x:v>
      </x:c>
      <x:c r="L43" s="12" t="n">
        <x:v>18</x:v>
      </x:c>
      <x:c r="M43" s="12" t="n">
        <x:f>J43*K43</x:f>
        <x:v>174.8</x:v>
      </x:c>
      <x:c r="N43" s="12" t="n">
        <x:f>J43*L43</x:f>
        <x:v>90</x:v>
      </x:c>
      <x:c r="O43" s="12" t="n">
        <x:f>M43-N43</x:f>
        <x:v>84.80000000000001</x:v>
      </x:c>
      <x:c r="P43" s="12" t="n">
        <x:v>16300</x:v>
      </x:c>
    </x:row>
    <x:row r="44">
      <x:c r="A44" t="str">
        <x:v>O0043</x:v>
      </x:c>
      <x:c r="B44" s="10" t="n">
        <x:v>46077</x:v>
      </x:c>
      <x:c r="C44" t="str">
        <x:v>C011</x:v>
      </x:c>
      <x:c r="D44" t="str">
        <x:v>Customer 11</x:v>
      </x:c>
      <x:c r="E44" t="str">
        <x:v>Corporate</x:v>
      </x:c>
      <x:c r="F44" t="str">
        <x:v>East</x:v>
      </x:c>
      <x:c r="G44" t="str">
        <x:v>P003</x:v>
      </x:c>
      <x:c r="H44" t="str">
        <x:v>Keyboard</x:v>
      </x:c>
      <x:c r="I44" t="str">
        <x:v>Accessories</x:v>
      </x:c>
      <x:c r="J44" t="n">
        <x:v>3</x:v>
      </x:c>
      <x:c r="K44" s="12" t="n">
        <x:v>62</x:v>
      </x:c>
      <x:c r="L44" s="12" t="n">
        <x:v>33</x:v>
      </x:c>
      <x:c r="M44" s="12" t="n">
        <x:f>J44*K44</x:f>
        <x:v>186</x:v>
      </x:c>
      <x:c r="N44" s="12" t="n">
        <x:f>J44*L44</x:f>
        <x:v>99</x:v>
      </x:c>
      <x:c r="O44" s="12" t="n">
        <x:f>M44-N44</x:f>
        <x:v>87</x:v>
      </x:c>
      <x:c r="P44" s="12" t="n">
        <x:v>14950</x:v>
      </x:c>
    </x:row>
    <x:row r="45">
      <x:c r="A45" t="str">
        <x:v>O0044</x:v>
      </x:c>
      <x:c r="B45" s="10" t="n">
        <x:v>46325</x:v>
      </x:c>
      <x:c r="C45" t="str">
        <x:v>C032</x:v>
      </x:c>
      <x:c r="D45" t="str">
        <x:v>Customer 32</x:v>
      </x:c>
      <x:c r="E45" t="str">
        <x:v>Community</x:v>
      </x:c>
      <x:c r="F45" t="str">
        <x:v>West</x:v>
      </x:c>
      <x:c r="G45" t="str">
        <x:v>P011</x:v>
      </x:c>
      <x:c r="H45" t="str">
        <x:v>Data Cleanup Service</x:v>
      </x:c>
      <x:c r="I45" t="str">
        <x:v>Services</x:v>
      </x:c>
      <x:c r="J45" t="n">
        <x:v>2</x:v>
      </x:c>
      <x:c r="K45" s="12" t="n">
        <x:v>294.4</x:v>
      </x:c>
      <x:c r="L45" s="12" t="n">
        <x:v>140</x:v>
      </x:c>
      <x:c r="M45" s="12" t="n">
        <x:f>J45*K45</x:f>
        <x:v>588.8</x:v>
      </x:c>
      <x:c r="N45" s="12" t="n">
        <x:f>J45*L45</x:f>
        <x:v>280</x:v>
      </x:c>
      <x:c r="O45" s="12" t="n">
        <x:f>M45-N45</x:f>
        <x:v>308.79999999999995</x:v>
      </x:c>
      <x:c r="P45" s="12" t="n">
        <x:v>18050</x:v>
      </x:c>
    </x:row>
    <x:row r="46">
      <x:c r="A46" t="str">
        <x:v>O0045</x:v>
      </x:c>
      <x:c r="B46" s="10" t="n">
        <x:v>46173</x:v>
      </x:c>
      <x:c r="C46" t="str">
        <x:v>C029</x:v>
      </x:c>
      <x:c r="D46" t="str">
        <x:v>Customer 29</x:v>
      </x:c>
      <x:c r="E46" t="str">
        <x:v>Student</x:v>
      </x:c>
      <x:c r="F46" t="str">
        <x:v>North</x:v>
      </x:c>
      <x:c r="G46" t="str">
        <x:v>P004</x:v>
      </x:c>
      <x:c r="H46" t="str">
        <x:v>USB-C Hub</x:v>
      </x:c>
      <x:c r="I46" t="str">
        <x:v>Accessories</x:v>
      </x:c>
      <x:c r="J46" t="n">
        <x:v>2</x:v>
      </x:c>
      <x:c r="K46" s="12" t="n">
        <x:v>79</x:v>
      </x:c>
      <x:c r="L46" s="12" t="n">
        <x:v>44</x:v>
      </x:c>
      <x:c r="M46" s="12" t="n">
        <x:f>J46*K46</x:f>
        <x:v>158</x:v>
      </x:c>
      <x:c r="N46" s="12" t="n">
        <x:f>J46*L46</x:f>
        <x:v>88</x:v>
      </x:c>
      <x:c r="O46" s="12" t="n">
        <x:f>M46-N46</x:f>
        <x:v>70</x:v>
      </x:c>
      <x:c r="P46" s="12" t="n">
        <x:v>16800</x:v>
      </x:c>
    </x:row>
    <x:row r="47">
      <x:c r="A47" t="str">
        <x:v>O0046</x:v>
      </x:c>
      <x:c r="B47" s="10" t="n">
        <x:v>46370</x:v>
      </x:c>
      <x:c r="C47" t="str">
        <x:v>C015</x:v>
      </x:c>
      <x:c r="D47" t="str">
        <x:v>Customer 15</x:v>
      </x:c>
      <x:c r="E47" t="str">
        <x:v>Corporate</x:v>
      </x:c>
      <x:c r="F47" t="str">
        <x:v>East</x:v>
      </x:c>
      <x:c r="G47" t="str">
        <x:v>P009</x:v>
      </x:c>
      <x:c r="H47" t="str">
        <x:v>Cloud Starter Plan</x:v>
      </x:c>
      <x:c r="I47" t="str">
        <x:v>Services</x:v>
      </x:c>
      <x:c r="J47" t="n">
        <x:v>1</x:v>
      </x:c>
      <x:c r="K47" s="12" t="n">
        <x:v>180</x:v>
      </x:c>
      <x:c r="L47" s="12" t="n">
        <x:v>65</x:v>
      </x:c>
      <x:c r="M47" s="12" t="n">
        <x:f>J47*K47</x:f>
        <x:v>180</x:v>
      </x:c>
      <x:c r="N47" s="12" t="n">
        <x:f>J47*L47</x:f>
        <x:v>65</x:v>
      </x:c>
      <x:c r="O47" s="12" t="n">
        <x:f>M47-N47</x:f>
        <x:v>115</x:v>
      </x:c>
      <x:c r="P47" s="12" t="n">
        <x:v>19450</x:v>
      </x:c>
    </x:row>
    <x:row r="48">
      <x:c r="A48" t="str">
        <x:v>O0047</x:v>
      </x:c>
      <x:c r="B48" s="10" t="n">
        <x:v>46271</x:v>
      </x:c>
      <x:c r="C48" t="str">
        <x:v>C040</x:v>
      </x:c>
      <x:c r="D48" t="str">
        <x:v>Customer 40</x:v>
      </x:c>
      <x:c r="E48" t="str">
        <x:v>Community</x:v>
      </x:c>
      <x:c r="F48" t="str">
        <x:v>West</x:v>
      </x:c>
      <x:c r="G48" t="str">
        <x:v>P004</x:v>
      </x:c>
      <x:c r="H48" t="str">
        <x:v>USB-C Hub</x:v>
      </x:c>
      <x:c r="I48" t="str">
        <x:v>Accessories</x:v>
      </x:c>
      <x:c r="J48" t="n">
        <x:v>4</x:v>
      </x:c>
      <x:c r="K48" s="12" t="n">
        <x:v>79</x:v>
      </x:c>
      <x:c r="L48" s="12" t="n">
        <x:v>44</x:v>
      </x:c>
      <x:c r="M48" s="12" t="n">
        <x:f>J48*K48</x:f>
        <x:v>316</x:v>
      </x:c>
      <x:c r="N48" s="12" t="n">
        <x:f>J48*L48</x:f>
        <x:v>176</x:v>
      </x:c>
      <x:c r="O48" s="12" t="n">
        <x:f>M48-N48</x:f>
        <x:v>140</x:v>
      </x:c>
      <x:c r="P48" s="12" t="n">
        <x:v>17600</x:v>
      </x:c>
    </x:row>
    <x:row r="49">
      <x:c r="A49" t="str">
        <x:v>O0048</x:v>
      </x:c>
      <x:c r="B49" s="10" t="n">
        <x:v>46289</x:v>
      </x:c>
      <x:c r="C49" t="str">
        <x:v>C008</x:v>
      </x:c>
      <x:c r="D49" t="str">
        <x:v>Customer 08</x:v>
      </x:c>
      <x:c r="E49" t="str">
        <x:v>Community</x:v>
      </x:c>
      <x:c r="F49" t="str">
        <x:v>West</x:v>
      </x:c>
      <x:c r="G49" t="str">
        <x:v>P007</x:v>
      </x:c>
      <x:c r="H49" t="str">
        <x:v>Webcam</x:v>
      </x:c>
      <x:c r="I49" t="str">
        <x:v>Hardware</x:v>
      </x:c>
      <x:c r="J49" t="n">
        <x:v>4</x:v>
      </x:c>
      <x:c r="K49" s="12" t="n">
        <x:v>109</x:v>
      </x:c>
      <x:c r="L49" s="12" t="n">
        <x:v>61</x:v>
      </x:c>
      <x:c r="M49" s="12" t="n">
        <x:f>J49*K49</x:f>
        <x:v>436</x:v>
      </x:c>
      <x:c r="N49" s="12" t="n">
        <x:f>J49*L49</x:f>
        <x:v>244</x:v>
      </x:c>
      <x:c r="O49" s="12" t="n">
        <x:f>M49-N49</x:f>
        <x:v>192</x:v>
      </x:c>
      <x:c r="P49" s="12" t="n">
        <x:v>17600</x:v>
      </x:c>
    </x:row>
    <x:row r="50">
      <x:c r="A50" t="str">
        <x:v>O0049</x:v>
      </x:c>
      <x:c r="B50" s="10" t="n">
        <x:v>46319</x:v>
      </x:c>
      <x:c r="C50" t="str">
        <x:v>C025</x:v>
      </x:c>
      <x:c r="D50" t="str">
        <x:v>Customer 25</x:v>
      </x:c>
      <x:c r="E50" t="str">
        <x:v>Student</x:v>
      </x:c>
      <x:c r="F50" t="str">
        <x:v>North</x:v>
      </x:c>
      <x:c r="G50" t="str">
        <x:v>P003</x:v>
      </x:c>
      <x:c r="H50" t="str">
        <x:v>Keyboard</x:v>
      </x:c>
      <x:c r="I50" t="str">
        <x:v>Accessories</x:v>
      </x:c>
      <x:c r="J50" t="n">
        <x:v>2</x:v>
      </x:c>
      <x:c r="K50" s="12" t="n">
        <x:v>62</x:v>
      </x:c>
      <x:c r="L50" s="12" t="n">
        <x:v>33</x:v>
      </x:c>
      <x:c r="M50" s="12" t="n">
        <x:f>J50*K50</x:f>
        <x:v>124</x:v>
      </x:c>
      <x:c r="N50" s="12" t="n">
        <x:f>J50*L50</x:f>
        <x:v>66</x:v>
      </x:c>
      <x:c r="O50" s="12" t="n">
        <x:f>M50-N50</x:f>
        <x:v>58</x:v>
      </x:c>
      <x:c r="P50" s="12" t="n">
        <x:v>19050</x:v>
      </x:c>
    </x:row>
    <x:row r="51">
      <x:c r="A51" t="str">
        <x:v>O0050</x:v>
      </x:c>
      <x:c r="B51" s="10" t="n">
        <x:v>46218</x:v>
      </x:c>
      <x:c r="C51" t="str">
        <x:v>C038</x:v>
      </x:c>
      <x:c r="D51" t="str">
        <x:v>Customer 38</x:v>
      </x:c>
      <x:c r="E51" t="str">
        <x:v>Small Business</x:v>
      </x:c>
      <x:c r="F51" t="str">
        <x:v>South</x:v>
      </x:c>
      <x:c r="G51" t="str">
        <x:v>P011</x:v>
      </x:c>
      <x:c r="H51" t="str">
        <x:v>Data Cleanup Service</x:v>
      </x:c>
      <x:c r="I51" t="str">
        <x:v>Services</x:v>
      </x:c>
      <x:c r="J51" t="n">
        <x:v>3</x:v>
      </x:c>
      <x:c r="K51" s="12" t="n">
        <x:v>320</x:v>
      </x:c>
      <x:c r="L51" s="12" t="n">
        <x:v>140</x:v>
      </x:c>
      <x:c r="M51" s="12" t="n">
        <x:f>J51*K51</x:f>
        <x:v>960</x:v>
      </x:c>
      <x:c r="N51" s="12" t="n">
        <x:f>J51*L51</x:f>
        <x:v>420</x:v>
      </x:c>
      <x:c r="O51" s="12" t="n">
        <x:f>M51-N51</x:f>
        <x:v>540</x:v>
      </x:c>
      <x:c r="P51" s="12" t="n">
        <x:v>15700</x:v>
      </x:c>
    </x:row>
    <x:row r="52">
      <x:c r="A52" t="str">
        <x:v>O0051</x:v>
      </x:c>
      <x:c r="B52" s="10" t="n">
        <x:v>46307</x:v>
      </x:c>
      <x:c r="C52" t="str">
        <x:v>C015</x:v>
      </x:c>
      <x:c r="D52" t="str">
        <x:v>Customer 15</x:v>
      </x:c>
      <x:c r="E52" t="str">
        <x:v>Corporate</x:v>
      </x:c>
      <x:c r="F52" t="str">
        <x:v>East</x:v>
      </x:c>
      <x:c r="G52" t="str">
        <x:v>P009</x:v>
      </x:c>
      <x:c r="H52" t="str">
        <x:v>Cloud Starter Plan</x:v>
      </x:c>
      <x:c r="I52" t="str">
        <x:v>Services</x:v>
      </x:c>
      <x:c r="J52" t="n">
        <x:v>1</x:v>
      </x:c>
      <x:c r="K52" s="12" t="n">
        <x:v>180</x:v>
      </x:c>
      <x:c r="L52" s="12" t="n">
        <x:v>65</x:v>
      </x:c>
      <x:c r="M52" s="12" t="n">
        <x:f>J52*K52</x:f>
        <x:v>180</x:v>
      </x:c>
      <x:c r="N52" s="12" t="n">
        <x:f>J52*L52</x:f>
        <x:v>65</x:v>
      </x:c>
      <x:c r="O52" s="12" t="n">
        <x:f>M52-N52</x:f>
        <x:v>115</x:v>
      </x:c>
      <x:c r="P52" s="12" t="n">
        <x:v>18550</x:v>
      </x:c>
    </x:row>
    <x:row r="53">
      <x:c r="A53" t="str">
        <x:v>O0052</x:v>
      </x:c>
      <x:c r="B53" s="10" t="n">
        <x:v>46300</x:v>
      </x:c>
      <x:c r="C53" t="str">
        <x:v>C039</x:v>
      </x:c>
      <x:c r="D53" t="str">
        <x:v>Customer 39</x:v>
      </x:c>
      <x:c r="E53" t="str">
        <x:v>Corporate</x:v>
      </x:c>
      <x:c r="F53" t="str">
        <x:v>East</x:v>
      </x:c>
      <x:c r="G53" t="str">
        <x:v>P007</x:v>
      </x:c>
      <x:c r="H53" t="str">
        <x:v>Webcam</x:v>
      </x:c>
      <x:c r="I53" t="str">
        <x:v>Hardware</x:v>
      </x:c>
      <x:c r="J53" t="n">
        <x:v>2</x:v>
      </x:c>
      <x:c r="K53" s="12" t="n">
        <x:v>109</x:v>
      </x:c>
      <x:c r="L53" s="12" t="n">
        <x:v>61</x:v>
      </x:c>
      <x:c r="M53" s="12" t="n">
        <x:f>J53*K53</x:f>
        <x:v>218</x:v>
      </x:c>
      <x:c r="N53" s="12" t="n">
        <x:f>J53*L53</x:f>
        <x:v>122</x:v>
      </x:c>
      <x:c r="O53" s="12" t="n">
        <x:f>M53-N53</x:f>
        <x:v>96</x:v>
      </x:c>
      <x:c r="P53" s="12" t="n">
        <x:v>18550</x:v>
      </x:c>
    </x:row>
    <x:row r="54">
      <x:c r="A54" t="str">
        <x:v>O0053</x:v>
      </x:c>
      <x:c r="B54" s="10" t="n">
        <x:v>46113</x:v>
      </x:c>
      <x:c r="C54" t="str">
        <x:v>C019</x:v>
      </x:c>
      <x:c r="D54" t="str">
        <x:v>Customer 19</x:v>
      </x:c>
      <x:c r="E54" t="str">
        <x:v>Corporate</x:v>
      </x:c>
      <x:c r="F54" t="str">
        <x:v>East</x:v>
      </x:c>
      <x:c r="G54" t="str">
        <x:v>P005</x:v>
      </x:c>
      <x:c r="H54" t="str">
        <x:v>24-inch Monitor</x:v>
      </x:c>
      <x:c r="I54" t="str">
        <x:v>Hardware</x:v>
      </x:c>
      <x:c r="J54" t="n">
        <x:v>3</x:v>
      </x:c>
      <x:c r="K54" s="12" t="n">
        <x:v>249</x:v>
      </x:c>
      <x:c r="L54" s="12" t="n">
        <x:v>169</x:v>
      </x:c>
      <x:c r="M54" s="12" t="n">
        <x:f>J54*K54</x:f>
        <x:v>747</x:v>
      </x:c>
      <x:c r="N54" s="12" t="n">
        <x:f>J54*L54</x:f>
        <x:v>507</x:v>
      </x:c>
      <x:c r="O54" s="12" t="n">
        <x:f>M54-N54</x:f>
        <x:v>240</x:v>
      </x:c>
      <x:c r="P54" s="12" t="n">
        <x:v>15850</x:v>
      </x:c>
    </x:row>
    <x:row r="55">
      <x:c r="A55" t="str">
        <x:v>O0054</x:v>
      </x:c>
      <x:c r="B55" s="10" t="n">
        <x:v>46340</x:v>
      </x:c>
      <x:c r="C55" t="str">
        <x:v>C025</x:v>
      </x:c>
      <x:c r="D55" t="str">
        <x:v>Customer 25</x:v>
      </x:c>
      <x:c r="E55" t="str">
        <x:v>Student</x:v>
      </x:c>
      <x:c r="F55" t="str">
        <x:v>North</x:v>
      </x:c>
      <x:c r="G55" t="str">
        <x:v>P011</x:v>
      </x:c>
      <x:c r="H55" t="str">
        <x:v>Data Cleanup Service</x:v>
      </x:c>
      <x:c r="I55" t="str">
        <x:v>Services</x:v>
      </x:c>
      <x:c r="J55" t="n">
        <x:v>2</x:v>
      </x:c>
      <x:c r="K55" s="12" t="n">
        <x:v>320</x:v>
      </x:c>
      <x:c r="L55" s="12" t="n">
        <x:v>140</x:v>
      </x:c>
      <x:c r="M55" s="12" t="n">
        <x:f>J55*K55</x:f>
        <x:v>640</x:v>
      </x:c>
      <x:c r="N55" s="12" t="n">
        <x:f>J55*L55</x:f>
        <x:v>280</x:v>
      </x:c>
      <x:c r="O55" s="12" t="n">
        <x:f>M55-N55</x:f>
        <x:v>360</x:v>
      </x:c>
      <x:c r="P55" s="12" t="n">
        <x:v>19500</x:v>
      </x:c>
    </x:row>
    <x:row r="56">
      <x:c r="A56" t="str">
        <x:v>O0055</x:v>
      </x:c>
      <x:c r="B56" s="10" t="n">
        <x:v>46372</x:v>
      </x:c>
      <x:c r="C56" t="str">
        <x:v>C003</x:v>
      </x:c>
      <x:c r="D56" t="str">
        <x:v>Customer 03</x:v>
      </x:c>
      <x:c r="E56" t="str">
        <x:v>Corporate</x:v>
      </x:c>
      <x:c r="F56" t="str">
        <x:v>East</x:v>
      </x:c>
      <x:c r="G56" t="str">
        <x:v>P004</x:v>
      </x:c>
      <x:c r="H56" t="str">
        <x:v>USB-C Hub</x:v>
      </x:c>
      <x:c r="I56" t="str">
        <x:v>Accessories</x:v>
      </x:c>
      <x:c r="J56" t="n">
        <x:v>4</x:v>
      </x:c>
      <x:c r="K56" s="12" t="n">
        <x:v>79</x:v>
      </x:c>
      <x:c r="L56" s="12" t="n">
        <x:v>44</x:v>
      </x:c>
      <x:c r="M56" s="12" t="n">
        <x:f>J56*K56</x:f>
        <x:v>316</x:v>
      </x:c>
      <x:c r="N56" s="12" t="n">
        <x:f>J56*L56</x:f>
        <x:v>176</x:v>
      </x:c>
      <x:c r="O56" s="12" t="n">
        <x:f>M56-N56</x:f>
        <x:v>140</x:v>
      </x:c>
      <x:c r="P56" s="12" t="n">
        <x:v>19450</x:v>
      </x:c>
    </x:row>
    <x:row r="57">
      <x:c r="A57" t="str">
        <x:v>O0056</x:v>
      </x:c>
      <x:c r="B57" s="10" t="n">
        <x:v>46385</x:v>
      </x:c>
      <x:c r="C57" t="str">
        <x:v>C037</x:v>
      </x:c>
      <x:c r="D57" t="str">
        <x:v>Customer 37</x:v>
      </x:c>
      <x:c r="E57" t="str">
        <x:v>Student</x:v>
      </x:c>
      <x:c r="F57" t="str">
        <x:v>North</x:v>
      </x:c>
      <x:c r="G57" t="str">
        <x:v>P004</x:v>
      </x:c>
      <x:c r="H57" t="str">
        <x:v>USB-C Hub</x:v>
      </x:c>
      <x:c r="I57" t="str">
        <x:v>Accessories</x:v>
      </x:c>
      <x:c r="J57" t="n">
        <x:v>5</x:v>
      </x:c>
      <x:c r="K57" s="12" t="n">
        <x:v>72.68</x:v>
      </x:c>
      <x:c r="L57" s="12" t="n">
        <x:v>44</x:v>
      </x:c>
      <x:c r="M57" s="12" t="n">
        <x:f>J57*K57</x:f>
        <x:v>363.40000000000003</x:v>
      </x:c>
      <x:c r="N57" s="12" t="n">
        <x:f>J57*L57</x:f>
        <x:v>220</x:v>
      </x:c>
      <x:c r="O57" s="12" t="n">
        <x:f>M57-N57</x:f>
        <x:v>143.40000000000003</x:v>
      </x:c>
      <x:c r="P57" s="12" t="n">
        <x:v>19950</x:v>
      </x:c>
    </x:row>
    <x:row r="58">
      <x:c r="A58" t="str">
        <x:v>O0057</x:v>
      </x:c>
      <x:c r="B58" s="10" t="n">
        <x:v>46305</x:v>
      </x:c>
      <x:c r="C58" t="str">
        <x:v>C037</x:v>
      </x:c>
      <x:c r="D58" t="str">
        <x:v>Customer 37</x:v>
      </x:c>
      <x:c r="E58" t="str">
        <x:v>Student</x:v>
      </x:c>
      <x:c r="F58" t="str">
        <x:v>North</x:v>
      </x:c>
      <x:c r="G58" t="str">
        <x:v>P002</x:v>
      </x:c>
      <x:c r="H58" t="str">
        <x:v>Wireless Mouse</x:v>
      </x:c>
      <x:c r="I58" t="str">
        <x:v>Accessories</x:v>
      </x:c>
      <x:c r="J58" t="n">
        <x:v>2</x:v>
      </x:c>
      <x:c r="K58" s="12" t="n">
        <x:v>38</x:v>
      </x:c>
      <x:c r="L58" s="12" t="n">
        <x:v>18</x:v>
      </x:c>
      <x:c r="M58" s="12" t="n">
        <x:f>J58*K58</x:f>
        <x:v>76</x:v>
      </x:c>
      <x:c r="N58" s="12" t="n">
        <x:f>J58*L58</x:f>
        <x:v>36</x:v>
      </x:c>
      <x:c r="O58" s="12" t="n">
        <x:f>M58-N58</x:f>
        <x:v>40</x:v>
      </x:c>
      <x:c r="P58" s="12" t="n">
        <x:v>19050</x:v>
      </x:c>
    </x:row>
    <x:row r="59">
      <x:c r="A59" t="str">
        <x:v>O0058</x:v>
      </x:c>
      <x:c r="B59" s="10" t="n">
        <x:v>46086</x:v>
      </x:c>
      <x:c r="C59" t="str">
        <x:v>C022</x:v>
      </x:c>
      <x:c r="D59" t="str">
        <x:v>Customer 22</x:v>
      </x:c>
      <x:c r="E59" t="str">
        <x:v>Small Business</x:v>
      </x:c>
      <x:c r="F59" t="str">
        <x:v>South</x:v>
      </x:c>
      <x:c r="G59" t="str">
        <x:v>P005</x:v>
      </x:c>
      <x:c r="H59" t="str">
        <x:v>24-inch Monitor</x:v>
      </x:c>
      <x:c r="I59" t="str">
        <x:v>Hardware</x:v>
      </x:c>
      <x:c r="J59" t="n">
        <x:v>2</x:v>
      </x:c>
      <x:c r="K59" s="12" t="n">
        <x:v>229.08</x:v>
      </x:c>
      <x:c r="L59" s="12" t="n">
        <x:v>169</x:v>
      </x:c>
      <x:c r="M59" s="12" t="n">
        <x:f>J59*K59</x:f>
        <x:v>458.16</x:v>
      </x:c>
      <x:c r="N59" s="12" t="n">
        <x:f>J59*L59</x:f>
        <x:v>338</x:v>
      </x:c>
      <x:c r="O59" s="12" t="n">
        <x:f>M59-N59</x:f>
        <x:v>120.16000000000003</x:v>
      </x:c>
      <x:c r="P59" s="12" t="n">
        <x:v>13900</x:v>
      </x:c>
    </x:row>
    <x:row r="60">
      <x:c r="A60" t="str">
        <x:v>O0059</x:v>
      </x:c>
      <x:c r="B60" s="10" t="n">
        <x:v>46135</x:v>
      </x:c>
      <x:c r="C60" t="str">
        <x:v>C022</x:v>
      </x:c>
      <x:c r="D60" t="str">
        <x:v>Customer 22</x:v>
      </x:c>
      <x:c r="E60" t="str">
        <x:v>Small Business</x:v>
      </x:c>
      <x:c r="F60" t="str">
        <x:v>South</x:v>
      </x:c>
      <x:c r="G60" t="str">
        <x:v>P006</x:v>
      </x:c>
      <x:c r="H60" t="str">
        <x:v>27-inch Monitor</x:v>
      </x:c>
      <x:c r="I60" t="str">
        <x:v>Hardware</x:v>
      </x:c>
      <x:c r="J60" t="n">
        <x:v>1</x:v>
      </x:c>
      <x:c r="K60" s="12" t="n">
        <x:v>349</x:v>
      </x:c>
      <x:c r="L60" s="12" t="n">
        <x:v>235</x:v>
      </x:c>
      <x:c r="M60" s="12" t="n">
        <x:f>J60*K60</x:f>
        <x:v>349</x:v>
      </x:c>
      <x:c r="N60" s="12" t="n">
        <x:f>J60*L60</x:f>
        <x:v>235</x:v>
      </x:c>
      <x:c r="O60" s="12" t="n">
        <x:f>M60-N60</x:f>
        <x:v>114</x:v>
      </x:c>
      <x:c r="P60" s="12" t="n">
        <x:v>14350</x:v>
      </x:c>
    </x:row>
    <x:row r="61">
      <x:c r="A61" t="str">
        <x:v>O0060</x:v>
      </x:c>
      <x:c r="B61" s="10" t="n">
        <x:v>46041</x:v>
      </x:c>
      <x:c r="C61" t="str">
        <x:v>C037</x:v>
      </x:c>
      <x:c r="D61" t="str">
        <x:v>Customer 37</x:v>
      </x:c>
      <x:c r="E61" t="str">
        <x:v>Student</x:v>
      </x:c>
      <x:c r="F61" t="str">
        <x:v>North</x:v>
      </x:c>
      <x:c r="G61" t="str">
        <x:v>P003</x:v>
      </x:c>
      <x:c r="H61" t="str">
        <x:v>Keyboard</x:v>
      </x:c>
      <x:c r="I61" t="str">
        <x:v>Accessories</x:v>
      </x:c>
      <x:c r="J61" t="n">
        <x:v>5</x:v>
      </x:c>
      <x:c r="K61" s="12" t="n">
        <x:v>62</x:v>
      </x:c>
      <x:c r="L61" s="12" t="n">
        <x:v>33</x:v>
      </x:c>
      <x:c r="M61" s="12" t="n">
        <x:f>J61*K61</x:f>
        <x:v>310</x:v>
      </x:c>
      <x:c r="N61" s="12" t="n">
        <x:f>J61*L61</x:f>
        <x:v>165</x:v>
      </x:c>
      <x:c r="O61" s="12" t="n">
        <x:f>M61-N61</x:f>
        <x:v>145</x:v>
      </x:c>
      <x:c r="P61" s="12" t="n">
        <x:v>15000</x:v>
      </x:c>
    </x:row>
    <x:row r="62">
      <x:c r="A62" t="str">
        <x:v>O0061</x:v>
      </x:c>
      <x:c r="B62" s="10" t="n">
        <x:v>46034</x:v>
      </x:c>
      <x:c r="C62" t="str">
        <x:v>C016</x:v>
      </x:c>
      <x:c r="D62" t="str">
        <x:v>Customer 16</x:v>
      </x:c>
      <x:c r="E62" t="str">
        <x:v>Community</x:v>
      </x:c>
      <x:c r="F62" t="str">
        <x:v>West</x:v>
      </x:c>
      <x:c r="G62" t="str">
        <x:v>P008</x:v>
      </x:c>
      <x:c r="H62" t="str">
        <x:v>Headset</x:v>
      </x:c>
      <x:c r="I62" t="str">
        <x:v>Hardware</x:v>
      </x:c>
      <x:c r="J62" t="n">
        <x:v>3</x:v>
      </x:c>
      <x:c r="K62" s="12" t="n">
        <x:v>129</x:v>
      </x:c>
      <x:c r="L62" s="12" t="n">
        <x:v>72</x:v>
      </x:c>
      <x:c r="M62" s="12" t="n">
        <x:f>J62*K62</x:f>
        <x:v>387</x:v>
      </x:c>
      <x:c r="N62" s="12" t="n">
        <x:f>J62*L62</x:f>
        <x:v>216</x:v>
      </x:c>
      <x:c r="O62" s="12" t="n">
        <x:f>M62-N62</x:f>
        <x:v>171</x:v>
      </x:c>
      <x:c r="P62" s="12" t="n">
        <x:v>14000</x:v>
      </x:c>
    </x:row>
    <x:row r="63">
      <x:c r="A63" t="str">
        <x:v>O0062</x:v>
      </x:c>
      <x:c r="B63" s="10" t="n">
        <x:v>46345</x:v>
      </x:c>
      <x:c r="C63" t="str">
        <x:v>C021</x:v>
      </x:c>
      <x:c r="D63" t="str">
        <x:v>Customer 21</x:v>
      </x:c>
      <x:c r="E63" t="str">
        <x:v>Student</x:v>
      </x:c>
      <x:c r="F63" t="str">
        <x:v>North</x:v>
      </x:c>
      <x:c r="G63" t="str">
        <x:v>P012</x:v>
      </x:c>
      <x:c r="H63" t="str">
        <x:v>Dashboard Setup</x:v>
      </x:c>
      <x:c r="I63" t="str">
        <x:v>Services</x:v>
      </x:c>
      <x:c r="J63" t="n">
        <x:v>5</x:v>
      </x:c>
      <x:c r="K63" s="12" t="n">
        <x:v>450</x:v>
      </x:c>
      <x:c r="L63" s="12" t="n">
        <x:v>205</x:v>
      </x:c>
      <x:c r="M63" s="12" t="n">
        <x:f>J63*K63</x:f>
        <x:v>2250</x:v>
      </x:c>
      <x:c r="N63" s="12" t="n">
        <x:f>J63*L63</x:f>
        <x:v>1025</x:v>
      </x:c>
      <x:c r="O63" s="12" t="n">
        <x:f>M63-N63</x:f>
        <x:v>1225</x:v>
      </x:c>
      <x:c r="P63" s="12" t="n">
        <x:v>19500</x:v>
      </x:c>
    </x:row>
    <x:row r="64">
      <x:c r="A64" t="str">
        <x:v>O0063</x:v>
      </x:c>
      <x:c r="B64" s="10" t="n">
        <x:v>46294</x:v>
      </x:c>
      <x:c r="C64" t="str">
        <x:v>C037</x:v>
      </x:c>
      <x:c r="D64" t="str">
        <x:v>Customer 37</x:v>
      </x:c>
      <x:c r="E64" t="str">
        <x:v>Student</x:v>
      </x:c>
      <x:c r="F64" t="str">
        <x:v>North</x:v>
      </x:c>
      <x:c r="G64" t="str">
        <x:v>P008</x:v>
      </x:c>
      <x:c r="H64" t="str">
        <x:v>Headset</x:v>
      </x:c>
      <x:c r="I64" t="str">
        <x:v>Hardware</x:v>
      </x:c>
      <x:c r="J64" t="n">
        <x:v>2</x:v>
      </x:c>
      <x:c r="K64" s="12" t="n">
        <x:v>129</x:v>
      </x:c>
      <x:c r="L64" s="12" t="n">
        <x:v>72</x:v>
      </x:c>
      <x:c r="M64" s="12" t="n">
        <x:f>J64*K64</x:f>
        <x:v>258</x:v>
      </x:c>
      <x:c r="N64" s="12" t="n">
        <x:f>J64*L64</x:f>
        <x:v>144</x:v>
      </x:c>
      <x:c r="O64" s="12" t="n">
        <x:f>M64-N64</x:f>
        <x:v>114</x:v>
      </x:c>
      <x:c r="P64" s="12" t="n">
        <x:v>18600</x:v>
      </x:c>
    </x:row>
    <x:row r="65">
      <x:c r="A65" t="str">
        <x:v>O0064</x:v>
      </x:c>
      <x:c r="B65" s="10" t="n">
        <x:v>46320</x:v>
      </x:c>
      <x:c r="C65" t="str">
        <x:v>C030</x:v>
      </x:c>
      <x:c r="D65" t="str">
        <x:v>Customer 30</x:v>
      </x:c>
      <x:c r="E65" t="str">
        <x:v>Small Business</x:v>
      </x:c>
      <x:c r="F65" t="str">
        <x:v>South</x:v>
      </x:c>
      <x:c r="G65" t="str">
        <x:v>P007</x:v>
      </x:c>
      <x:c r="H65" t="str">
        <x:v>Webcam</x:v>
      </x:c>
      <x:c r="I65" t="str">
        <x:v>Hardware</x:v>
      </x:c>
      <x:c r="J65" t="n">
        <x:v>4</x:v>
      </x:c>
      <x:c r="K65" s="12" t="n">
        <x:v>100.28</x:v>
      </x:c>
      <x:c r="L65" s="12" t="n">
        <x:v>61</x:v>
      </x:c>
      <x:c r="M65" s="12" t="n">
        <x:f>J65*K65</x:f>
        <x:v>401.12</x:v>
      </x:c>
      <x:c r="N65" s="12" t="n">
        <x:f>J65*L65</x:f>
        <x:v>244</x:v>
      </x:c>
      <x:c r="O65" s="12" t="n">
        <x:f>M65-N65</x:f>
        <x:v>157.12</x:v>
      </x:c>
      <x:c r="P65" s="12" t="n">
        <x:v>17050</x:v>
      </x:c>
    </x:row>
    <x:row r="66">
      <x:c r="A66" t="str">
        <x:v>O0065</x:v>
      </x:c>
      <x:c r="B66" s="10" t="n">
        <x:v>46316</x:v>
      </x:c>
      <x:c r="C66" t="str">
        <x:v>C005</x:v>
      </x:c>
      <x:c r="D66" t="str">
        <x:v>Customer 05</x:v>
      </x:c>
      <x:c r="E66" t="str">
        <x:v>Student</x:v>
      </x:c>
      <x:c r="F66" t="str">
        <x:v>North</x:v>
      </x:c>
      <x:c r="G66" t="str">
        <x:v>P009</x:v>
      </x:c>
      <x:c r="H66" t="str">
        <x:v>Cloud Starter Plan</x:v>
      </x:c>
      <x:c r="I66" t="str">
        <x:v>Services</x:v>
      </x:c>
      <x:c r="J66" t="n">
        <x:v>5</x:v>
      </x:c>
      <x:c r="K66" s="12" t="n">
        <x:v>180</x:v>
      </x:c>
      <x:c r="L66" s="12" t="n">
        <x:v>65</x:v>
      </x:c>
      <x:c r="M66" s="12" t="n">
        <x:f>J66*K66</x:f>
        <x:v>900</x:v>
      </x:c>
      <x:c r="N66" s="12" t="n">
        <x:f>J66*L66</x:f>
        <x:v>325</x:v>
      </x:c>
      <x:c r="O66" s="12" t="n">
        <x:f>M66-N66</x:f>
        <x:v>575</x:v>
      </x:c>
      <x:c r="P66" s="12" t="n">
        <x:v>19050</x:v>
      </x:c>
    </x:row>
    <x:row r="67">
      <x:c r="A67" t="str">
        <x:v>O0066</x:v>
      </x:c>
      <x:c r="B67" s="10" t="n">
        <x:v>46152</x:v>
      </x:c>
      <x:c r="C67" t="str">
        <x:v>C032</x:v>
      </x:c>
      <x:c r="D67" t="str">
        <x:v>Customer 32</x:v>
      </x:c>
      <x:c r="E67" t="str">
        <x:v>Community</x:v>
      </x:c>
      <x:c r="F67" t="str">
        <x:v>West</x:v>
      </x:c>
      <x:c r="G67" t="str">
        <x:v>P012</x:v>
      </x:c>
      <x:c r="H67" t="str">
        <x:v>Dashboard Setup</x:v>
      </x:c>
      <x:c r="I67" t="str">
        <x:v>Services</x:v>
      </x:c>
      <x:c r="J67" t="n">
        <x:v>3</x:v>
      </x:c>
      <x:c r="K67" s="12" t="n">
        <x:v>450</x:v>
      </x:c>
      <x:c r="L67" s="12" t="n">
        <x:v>205</x:v>
      </x:c>
      <x:c r="M67" s="12" t="n">
        <x:f>J67*K67</x:f>
        <x:v>1350</x:v>
      </x:c>
      <x:c r="N67" s="12" t="n">
        <x:f>J67*L67</x:f>
        <x:v>615</x:v>
      </x:c>
      <x:c r="O67" s="12" t="n">
        <x:f>M67-N67</x:f>
        <x:v>735</x:v>
      </x:c>
      <x:c r="P67" s="12" t="n">
        <x:v>15800</x:v>
      </x:c>
    </x:row>
    <x:row r="68">
      <x:c r="A68" t="str">
        <x:v>O0067</x:v>
      </x:c>
      <x:c r="B68" s="10" t="n">
        <x:v>46159</x:v>
      </x:c>
      <x:c r="C68" t="str">
        <x:v>C004</x:v>
      </x:c>
      <x:c r="D68" t="str">
        <x:v>Customer 04</x:v>
      </x:c>
      <x:c r="E68" t="str">
        <x:v>Community</x:v>
      </x:c>
      <x:c r="F68" t="str">
        <x:v>West</x:v>
      </x:c>
      <x:c r="G68" t="str">
        <x:v>P012</x:v>
      </x:c>
      <x:c r="H68" t="str">
        <x:v>Dashboard Setup</x:v>
      </x:c>
      <x:c r="I68" t="str">
        <x:v>Services</x:v>
      </x:c>
      <x:c r="J68" t="n">
        <x:v>2</x:v>
      </x:c>
      <x:c r="K68" s="12" t="n">
        <x:v>414</x:v>
      </x:c>
      <x:c r="L68" s="12" t="n">
        <x:v>205</x:v>
      </x:c>
      <x:c r="M68" s="12" t="n">
        <x:f>J68*K68</x:f>
        <x:v>828</x:v>
      </x:c>
      <x:c r="N68" s="12" t="n">
        <x:f>J68*L68</x:f>
        <x:v>410</x:v>
      </x:c>
      <x:c r="O68" s="12" t="n">
        <x:f>M68-N68</x:f>
        <x:v>418</x:v>
      </x:c>
      <x:c r="P68" s="12" t="n">
        <x:v>15800</x:v>
      </x:c>
    </x:row>
    <x:row r="69">
      <x:c r="A69" t="str">
        <x:v>O0068</x:v>
      </x:c>
      <x:c r="B69" s="10" t="n">
        <x:v>46343</x:v>
      </x:c>
      <x:c r="C69" t="str">
        <x:v>C014</x:v>
      </x:c>
      <x:c r="D69" t="str">
        <x:v>Customer 14</x:v>
      </x:c>
      <x:c r="E69" t="str">
        <x:v>Small Business</x:v>
      </x:c>
      <x:c r="F69" t="str">
        <x:v>South</x:v>
      </x:c>
      <x:c r="G69" t="str">
        <x:v>P006</x:v>
      </x:c>
      <x:c r="H69" t="str">
        <x:v>27-inch Monitor</x:v>
      </x:c>
      <x:c r="I69" t="str">
        <x:v>Hardware</x:v>
      </x:c>
      <x:c r="J69" t="n">
        <x:v>1</x:v>
      </x:c>
      <x:c r="K69" s="12" t="n">
        <x:v>349</x:v>
      </x:c>
      <x:c r="L69" s="12" t="n">
        <x:v>235</x:v>
      </x:c>
      <x:c r="M69" s="12" t="n">
        <x:f>J69*K69</x:f>
        <x:v>349</x:v>
      </x:c>
      <x:c r="N69" s="12" t="n">
        <x:f>J69*L69</x:f>
        <x:v>235</x:v>
      </x:c>
      <x:c r="O69" s="12" t="n">
        <x:f>M69-N69</x:f>
        <x:v>114</x:v>
      </x:c>
      <x:c r="P69" s="12" t="n">
        <x:v>17500</x:v>
      </x:c>
    </x:row>
    <x:row r="70">
      <x:c r="A70" t="str">
        <x:v>O0069</x:v>
      </x:c>
      <x:c r="B70" s="10" t="n">
        <x:v>46204</x:v>
      </x:c>
      <x:c r="C70" t="str">
        <x:v>C012</x:v>
      </x:c>
      <x:c r="D70" t="str">
        <x:v>Customer 12</x:v>
      </x:c>
      <x:c r="E70" t="str">
        <x:v>Community</x:v>
      </x:c>
      <x:c r="F70" t="str">
        <x:v>West</x:v>
      </x:c>
      <x:c r="G70" t="str">
        <x:v>P009</x:v>
      </x:c>
      <x:c r="H70" t="str">
        <x:v>Cloud Starter Plan</x:v>
      </x:c>
      <x:c r="I70" t="str">
        <x:v>Services</x:v>
      </x:c>
      <x:c r="J70" t="n">
        <x:v>4</x:v>
      </x:c>
      <x:c r="K70" s="12" t="n">
        <x:v>180</x:v>
      </x:c>
      <x:c r="L70" s="12" t="n">
        <x:v>65</x:v>
      </x:c>
      <x:c r="M70" s="12" t="n">
        <x:f>J70*K70</x:f>
        <x:v>720</x:v>
      </x:c>
      <x:c r="N70" s="12" t="n">
        <x:f>J70*L70</x:f>
        <x:v>260</x:v>
      </x:c>
      <x:c r="O70" s="12" t="n">
        <x:f>M70-N70</x:f>
        <x:v>460</x:v>
      </x:c>
      <x:c r="P70" s="12" t="n">
        <x:v>16700</x:v>
      </x:c>
    </x:row>
    <x:row r="71">
      <x:c r="A71" t="str">
        <x:v>O0070</x:v>
      </x:c>
      <x:c r="B71" s="10" t="n">
        <x:v>46378</x:v>
      </x:c>
      <x:c r="C71" t="str">
        <x:v>C022</x:v>
      </x:c>
      <x:c r="D71" t="str">
        <x:v>Customer 22</x:v>
      </x:c>
      <x:c r="E71" t="str">
        <x:v>Small Business</x:v>
      </x:c>
      <x:c r="F71" t="str">
        <x:v>South</x:v>
      </x:c>
      <x:c r="G71" t="str">
        <x:v>P001</x:v>
      </x:c>
      <x:c r="H71" t="str">
        <x:v>Laptop Stand</x:v>
      </x:c>
      <x:c r="I71" t="str">
        <x:v>Accessories</x:v>
      </x:c>
      <x:c r="J71" t="n">
        <x:v>1</x:v>
      </x:c>
      <x:c r="K71" s="12" t="n">
        <x:v>45</x:v>
      </x:c>
      <x:c r="L71" s="12" t="n">
        <x:v>23</x:v>
      </x:c>
      <x:c r="M71" s="12" t="n">
        <x:f>J71*K71</x:f>
        <x:v>45</x:v>
      </x:c>
      <x:c r="N71" s="12" t="n">
        <x:f>J71*L71</x:f>
        <x:v>23</x:v>
      </x:c>
      <x:c r="O71" s="12" t="n">
        <x:f>M71-N71</x:f>
        <x:v>22</x:v>
      </x:c>
      <x:c r="P71" s="12" t="n">
        <x:v>17950</x:v>
      </x:c>
    </x:row>
    <x:row r="72">
      <x:c r="A72" t="str">
        <x:v>O0071</x:v>
      </x:c>
      <x:c r="B72" s="10" t="n">
        <x:v>46206</x:v>
      </x:c>
      <x:c r="C72" t="str">
        <x:v>C039</x:v>
      </x:c>
      <x:c r="D72" t="str">
        <x:v>Customer 39</x:v>
      </x:c>
      <x:c r="E72" t="str">
        <x:v>Corporate</x:v>
      </x:c>
      <x:c r="F72" t="str">
        <x:v>East</x:v>
      </x:c>
      <x:c r="G72" t="str">
        <x:v>P010</x:v>
      </x:c>
      <x:c r="H72" t="str">
        <x:v>Support Package</x:v>
      </x:c>
      <x:c r="I72" t="str">
        <x:v>Services</x:v>
      </x:c>
      <x:c r="J72" t="n">
        <x:v>4</x:v>
      </x:c>
      <x:c r="K72" s="12" t="n">
        <x:v>220.8</x:v>
      </x:c>
      <x:c r="L72" s="12" t="n">
        <x:v>95</x:v>
      </x:c>
      <x:c r="M72" s="12" t="n">
        <x:f>J72*K72</x:f>
        <x:v>883.2</x:v>
      </x:c>
      <x:c r="N72" s="12" t="n">
        <x:f>J72*L72</x:f>
        <x:v>380</x:v>
      </x:c>
      <x:c r="O72" s="12" t="n">
        <x:f>M72-N72</x:f>
        <x:v>503.20000000000005</x:v>
      </x:c>
      <x:c r="P72" s="12" t="n">
        <x:v>17200</x:v>
      </x:c>
    </x:row>
    <x:row r="73">
      <x:c r="A73" t="str">
        <x:v>O0072</x:v>
      </x:c>
      <x:c r="B73" s="10" t="n">
        <x:v>46087</x:v>
      </x:c>
      <x:c r="C73" t="str">
        <x:v>C013</x:v>
      </x:c>
      <x:c r="D73" t="str">
        <x:v>Customer 13</x:v>
      </x:c>
      <x:c r="E73" t="str">
        <x:v>Student</x:v>
      </x:c>
      <x:c r="F73" t="str">
        <x:v>North</x:v>
      </x:c>
      <x:c r="G73" t="str">
        <x:v>P008</x:v>
      </x:c>
      <x:c r="H73" t="str">
        <x:v>Headset</x:v>
      </x:c>
      <x:c r="I73" t="str">
        <x:v>Hardware</x:v>
      </x:c>
      <x:c r="J73" t="n">
        <x:v>2</x:v>
      </x:c>
      <x:c r="K73" s="12" t="n">
        <x:v>129</x:v>
      </x:c>
      <x:c r="L73" s="12" t="n">
        <x:v>72</x:v>
      </x:c>
      <x:c r="M73" s="12" t="n">
        <x:f>J73*K73</x:f>
        <x:v>258</x:v>
      </x:c>
      <x:c r="N73" s="12" t="n">
        <x:f>J73*L73</x:f>
        <x:v>144</x:v>
      </x:c>
      <x:c r="O73" s="12" t="n">
        <x:f>M73-N73</x:f>
        <x:v>114</x:v>
      </x:c>
      <x:c r="P73" s="12" t="n">
        <x:v>15900</x:v>
      </x:c>
    </x:row>
    <x:row r="74">
      <x:c r="A74" t="str">
        <x:v>O0073</x:v>
      </x:c>
      <x:c r="B74" s="10" t="n">
        <x:v>46166</x:v>
      </x:c>
      <x:c r="C74" t="str">
        <x:v>C017</x:v>
      </x:c>
      <x:c r="D74" t="str">
        <x:v>Customer 17</x:v>
      </x:c>
      <x:c r="E74" t="str">
        <x:v>Student</x:v>
      </x:c>
      <x:c r="F74" t="str">
        <x:v>North</x:v>
      </x:c>
      <x:c r="G74" t="str">
        <x:v>P009</x:v>
      </x:c>
      <x:c r="H74" t="str">
        <x:v>Cloud Starter Plan</x:v>
      </x:c>
      <x:c r="I74" t="str">
        <x:v>Services</x:v>
      </x:c>
      <x:c r="J74" t="n">
        <x:v>1</x:v>
      </x:c>
      <x:c r="K74" s="12" t="n">
        <x:v>180</x:v>
      </x:c>
      <x:c r="L74" s="12" t="n">
        <x:v>65</x:v>
      </x:c>
      <x:c r="M74" s="12" t="n">
        <x:f>J74*K74</x:f>
        <x:v>180</x:v>
      </x:c>
      <x:c r="N74" s="12" t="n">
        <x:f>J74*L74</x:f>
        <x:v>65</x:v>
      </x:c>
      <x:c r="O74" s="12" t="n">
        <x:f>M74-N74</x:f>
        <x:v>115</x:v>
      </x:c>
      <x:c r="P74" s="12" t="n">
        <x:v>16800</x:v>
      </x:c>
    </x:row>
    <x:row r="75">
      <x:c r="A75" t="str">
        <x:v>O0074</x:v>
      </x:c>
      <x:c r="B75" s="10" t="n">
        <x:v>46280</x:v>
      </x:c>
      <x:c r="C75" t="str">
        <x:v>C002</x:v>
      </x:c>
      <x:c r="D75" t="str">
        <x:v>Customer 02</x:v>
      </x:c>
      <x:c r="E75" t="str">
        <x:v>Small Business</x:v>
      </x:c>
      <x:c r="F75" t="str">
        <x:v>South</x:v>
      </x:c>
      <x:c r="G75" t="str">
        <x:v>P009</x:v>
      </x:c>
      <x:c r="H75" t="str">
        <x:v>Cloud Starter Plan</x:v>
      </x:c>
      <x:c r="I75" t="str">
        <x:v>Services</x:v>
      </x:c>
      <x:c r="J75" t="n">
        <x:v>1</x:v>
      </x:c>
      <x:c r="K75" s="12" t="n">
        <x:v>180</x:v>
      </x:c>
      <x:c r="L75" s="12" t="n">
        <x:v>65</x:v>
      </x:c>
      <x:c r="M75" s="12" t="n">
        <x:f>J75*K75</x:f>
        <x:v>180</x:v>
      </x:c>
      <x:c r="N75" s="12" t="n">
        <x:f>J75*L75</x:f>
        <x:v>65</x:v>
      </x:c>
      <x:c r="O75" s="12" t="n">
        <x:f>M75-N75</x:f>
        <x:v>115</x:v>
      </x:c>
      <x:c r="P75" s="12" t="n">
        <x:v>16600</x:v>
      </x:c>
    </x:row>
    <x:row r="76">
      <x:c r="A76" t="str">
        <x:v>O0075</x:v>
      </x:c>
      <x:c r="B76" s="10" t="n">
        <x:v>46295</x:v>
      </x:c>
      <x:c r="C76" t="str">
        <x:v>C027</x:v>
      </x:c>
      <x:c r="D76" t="str">
        <x:v>Customer 27</x:v>
      </x:c>
      <x:c r="E76" t="str">
        <x:v>Corporate</x:v>
      </x:c>
      <x:c r="F76" t="str">
        <x:v>East</x:v>
      </x:c>
      <x:c r="G76" t="str">
        <x:v>P009</x:v>
      </x:c>
      <x:c r="H76" t="str">
        <x:v>Cloud Starter Plan</x:v>
      </x:c>
      <x:c r="I76" t="str">
        <x:v>Services</x:v>
      </x:c>
      <x:c r="J76" t="n">
        <x:v>2</x:v>
      </x:c>
      <x:c r="K76" s="12" t="n">
        <x:v>165.6</x:v>
      </x:c>
      <x:c r="L76" s="12" t="n">
        <x:v>65</x:v>
      </x:c>
      <x:c r="M76" s="12" t="n">
        <x:f>J76*K76</x:f>
        <x:v>331.2</x:v>
      </x:c>
      <x:c r="N76" s="12" t="n">
        <x:f>J76*L76</x:f>
        <x:v>130</x:v>
      </x:c>
      <x:c r="O76" s="12" t="n">
        <x:f>M76-N76</x:f>
        <x:v>201.2</x:v>
      </x:c>
      <x:c r="P76" s="12" t="n">
        <x:v>18100</x:v>
      </x:c>
    </x:row>
    <x:row r="77">
      <x:c r="A77" t="str">
        <x:v>O0076</x:v>
      </x:c>
      <x:c r="B77" s="10" t="n">
        <x:v>46159</x:v>
      </x:c>
      <x:c r="C77" t="str">
        <x:v>C032</x:v>
      </x:c>
      <x:c r="D77" t="str">
        <x:v>Customer 32</x:v>
      </x:c>
      <x:c r="E77" t="str">
        <x:v>Community</x:v>
      </x:c>
      <x:c r="F77" t="str">
        <x:v>West</x:v>
      </x:c>
      <x:c r="G77" t="str">
        <x:v>P003</x:v>
      </x:c>
      <x:c r="H77" t="str">
        <x:v>Keyboard</x:v>
      </x:c>
      <x:c r="I77" t="str">
        <x:v>Accessories</x:v>
      </x:c>
      <x:c r="J77" t="n">
        <x:v>4</x:v>
      </x:c>
      <x:c r="K77" s="12" t="n">
        <x:v>62</x:v>
      </x:c>
      <x:c r="L77" s="12" t="n">
        <x:v>33</x:v>
      </x:c>
      <x:c r="M77" s="12" t="n">
        <x:f>J77*K77</x:f>
        <x:v>248</x:v>
      </x:c>
      <x:c r="N77" s="12" t="n">
        <x:f>J77*L77</x:f>
        <x:v>132</x:v>
      </x:c>
      <x:c r="O77" s="12" t="n">
        <x:f>M77-N77</x:f>
        <x:v>116</x:v>
      </x:c>
      <x:c r="P77" s="12" t="n">
        <x:v>15800</x:v>
      </x:c>
    </x:row>
    <x:row r="78">
      <x:c r="A78" t="str">
        <x:v>O0077</x:v>
      </x:c>
      <x:c r="B78" s="10" t="n">
        <x:v>46210</x:v>
      </x:c>
      <x:c r="C78" t="str">
        <x:v>C017</x:v>
      </x:c>
      <x:c r="D78" t="str">
        <x:v>Customer 17</x:v>
      </x:c>
      <x:c r="E78" t="str">
        <x:v>Student</x:v>
      </x:c>
      <x:c r="F78" t="str">
        <x:v>North</x:v>
      </x:c>
      <x:c r="G78" t="str">
        <x:v>P007</x:v>
      </x:c>
      <x:c r="H78" t="str">
        <x:v>Webcam</x:v>
      </x:c>
      <x:c r="I78" t="str">
        <x:v>Hardware</x:v>
      </x:c>
      <x:c r="J78" t="n">
        <x:v>2</x:v>
      </x:c>
      <x:c r="K78" s="12" t="n">
        <x:v>109</x:v>
      </x:c>
      <x:c r="L78" s="12" t="n">
        <x:v>61</x:v>
      </x:c>
      <x:c r="M78" s="12" t="n">
        <x:f>J78*K78</x:f>
        <x:v>218</x:v>
      </x:c>
      <x:c r="N78" s="12" t="n">
        <x:f>J78*L78</x:f>
        <x:v>122</x:v>
      </x:c>
      <x:c r="O78" s="12" t="n">
        <x:f>M78-N78</x:f>
        <x:v>96</x:v>
      </x:c>
      <x:c r="P78" s="12" t="n">
        <x:v>17700</x:v>
      </x:c>
    </x:row>
    <x:row r="79">
      <x:c r="A79" t="str">
        <x:v>O0078</x:v>
      </x:c>
      <x:c r="B79" s="10" t="n">
        <x:v>46365</x:v>
      </x:c>
      <x:c r="C79" t="str">
        <x:v>C022</x:v>
      </x:c>
      <x:c r="D79" t="str">
        <x:v>Customer 22</x:v>
      </x:c>
      <x:c r="E79" t="str">
        <x:v>Small Business</x:v>
      </x:c>
      <x:c r="F79" t="str">
        <x:v>South</x:v>
      </x:c>
      <x:c r="G79" t="str">
        <x:v>P003</x:v>
      </x:c>
      <x:c r="H79" t="str">
        <x:v>Keyboard</x:v>
      </x:c>
      <x:c r="I79" t="str">
        <x:v>Accessories</x:v>
      </x:c>
      <x:c r="J79" t="n">
        <x:v>4</x:v>
      </x:c>
      <x:c r="K79" s="12" t="n">
        <x:v>62</x:v>
      </x:c>
      <x:c r="L79" s="12" t="n">
        <x:v>33</x:v>
      </x:c>
      <x:c r="M79" s="12" t="n">
        <x:f>J79*K79</x:f>
        <x:v>248</x:v>
      </x:c>
      <x:c r="N79" s="12" t="n">
        <x:f>J79*L79</x:f>
        <x:v>132</x:v>
      </x:c>
      <x:c r="O79" s="12" t="n">
        <x:f>M79-N79</x:f>
        <x:v>116</x:v>
      </x:c>
      <x:c r="P79" s="12" t="n">
        <x:v>17950</x:v>
      </x:c>
    </x:row>
    <x:row r="80">
      <x:c r="A80" t="str">
        <x:v>O0079</x:v>
      </x:c>
      <x:c r="B80" s="10" t="n">
        <x:v>46175</x:v>
      </x:c>
      <x:c r="C80" t="str">
        <x:v>C036</x:v>
      </x:c>
      <x:c r="D80" t="str">
        <x:v>Customer 36</x:v>
      </x:c>
      <x:c r="E80" t="str">
        <x:v>Community</x:v>
      </x:c>
      <x:c r="F80" t="str">
        <x:v>West</x:v>
      </x:c>
      <x:c r="G80" t="str">
        <x:v>P011</x:v>
      </x:c>
      <x:c r="H80" t="str">
        <x:v>Data Cleanup Service</x:v>
      </x:c>
      <x:c r="I80" t="str">
        <x:v>Services</x:v>
      </x:c>
      <x:c r="J80" t="n">
        <x:v>2</x:v>
      </x:c>
      <x:c r="K80" s="12" t="n">
        <x:v>320</x:v>
      </x:c>
      <x:c r="L80" s="12" t="n">
        <x:v>140</x:v>
      </x:c>
      <x:c r="M80" s="12" t="n">
        <x:f>J80*K80</x:f>
        <x:v>640</x:v>
      </x:c>
      <x:c r="N80" s="12" t="n">
        <x:f>J80*L80</x:f>
        <x:v>280</x:v>
      </x:c>
      <x:c r="O80" s="12" t="n">
        <x:f>M80-N80</x:f>
        <x:v>360</x:v>
      </x:c>
      <x:c r="P80" s="12" t="n">
        <x:v>16250</x:v>
      </x:c>
    </x:row>
    <x:row r="81">
      <x:c r="A81" t="str">
        <x:v>O0080</x:v>
      </x:c>
      <x:c r="B81" s="10" t="n">
        <x:v>46215</x:v>
      </x:c>
      <x:c r="C81" t="str">
        <x:v>C003</x:v>
      </x:c>
      <x:c r="D81" t="str">
        <x:v>Customer 03</x:v>
      </x:c>
      <x:c r="E81" t="str">
        <x:v>Corporate</x:v>
      </x:c>
      <x:c r="F81" t="str">
        <x:v>East</x:v>
      </x:c>
      <x:c r="G81" t="str">
        <x:v>P005</x:v>
      </x:c>
      <x:c r="H81" t="str">
        <x:v>24-inch Monitor</x:v>
      </x:c>
      <x:c r="I81" t="str">
        <x:v>Hardware</x:v>
      </x:c>
      <x:c r="J81" t="n">
        <x:v>3</x:v>
      </x:c>
      <x:c r="K81" s="12" t="n">
        <x:v>249</x:v>
      </x:c>
      <x:c r="L81" s="12" t="n">
        <x:v>169</x:v>
      </x:c>
      <x:c r="M81" s="12" t="n">
        <x:f>J81*K81</x:f>
        <x:v>747</x:v>
      </x:c>
      <x:c r="N81" s="12" t="n">
        <x:f>J81*L81</x:f>
        <x:v>507</x:v>
      </x:c>
      <x:c r="O81" s="12" t="n">
        <x:f>M81-N81</x:f>
        <x:v>240</x:v>
      </x:c>
      <x:c r="P81" s="12" t="n">
        <x:v>17200</x:v>
      </x:c>
    </x:row>
    <x:row r="82">
      <x:c r="A82" t="str">
        <x:v>O0081</x:v>
      </x:c>
      <x:c r="B82" s="10" t="n">
        <x:v>46026</x:v>
      </x:c>
      <x:c r="C82" t="str">
        <x:v>C038</x:v>
      </x:c>
      <x:c r="D82" t="str">
        <x:v>Customer 38</x:v>
      </x:c>
      <x:c r="E82" t="str">
        <x:v>Small Business</x:v>
      </x:c>
      <x:c r="F82" t="str">
        <x:v>South</x:v>
      </x:c>
      <x:c r="G82" t="str">
        <x:v>P005</x:v>
      </x:c>
      <x:c r="H82" t="str">
        <x:v>24-inch Monitor</x:v>
      </x:c>
      <x:c r="I82" t="str">
        <x:v>Hardware</x:v>
      </x:c>
      <x:c r="J82" t="n">
        <x:v>2</x:v>
      </x:c>
      <x:c r="K82" s="12" t="n">
        <x:v>249</x:v>
      </x:c>
      <x:c r="L82" s="12" t="n">
        <x:v>169</x:v>
      </x:c>
      <x:c r="M82" s="12" t="n">
        <x:f>J82*K82</x:f>
        <x:v>498</x:v>
      </x:c>
      <x:c r="N82" s="12" t="n">
        <x:f>J82*L82</x:f>
        <x:v>338</x:v>
      </x:c>
      <x:c r="O82" s="12" t="n">
        <x:f>M82-N82</x:f>
        <x:v>160</x:v>
      </x:c>
      <x:c r="P82" s="12" t="n">
        <x:v>13000</x:v>
      </x:c>
    </x:row>
    <x:row r="83">
      <x:c r="A83" t="str">
        <x:v>O0082</x:v>
      </x:c>
      <x:c r="B83" s="10" t="n">
        <x:v>46069</x:v>
      </x:c>
      <x:c r="C83" t="str">
        <x:v>C017</x:v>
      </x:c>
      <x:c r="D83" t="str">
        <x:v>Customer 17</x:v>
      </x:c>
      <x:c r="E83" t="str">
        <x:v>Student</x:v>
      </x:c>
      <x:c r="F83" t="str">
        <x:v>North</x:v>
      </x:c>
      <x:c r="G83" t="str">
        <x:v>P001</x:v>
      </x:c>
      <x:c r="H83" t="str">
        <x:v>Laptop Stand</x:v>
      </x:c>
      <x:c r="I83" t="str">
        <x:v>Accessories</x:v>
      </x:c>
      <x:c r="J83" t="n">
        <x:v>4</x:v>
      </x:c>
      <x:c r="K83" s="12" t="n">
        <x:v>45</x:v>
      </x:c>
      <x:c r="L83" s="12" t="n">
        <x:v>23</x:v>
      </x:c>
      <x:c r="M83" s="12" t="n">
        <x:f>J83*K83</x:f>
        <x:v>180</x:v>
      </x:c>
      <x:c r="N83" s="12" t="n">
        <x:f>J83*L83</x:f>
        <x:v>92</x:v>
      </x:c>
      <x:c r="O83" s="12" t="n">
        <x:f>M83-N83</x:f>
        <x:v>88</x:v>
      </x:c>
      <x:c r="P83" s="12" t="n">
        <x:v>15450</x:v>
      </x:c>
    </x:row>
    <x:row r="84">
      <x:c r="A84" t="str">
        <x:v>O0083</x:v>
      </x:c>
      <x:c r="B84" s="10" t="n">
        <x:v>46285</x:v>
      </x:c>
      <x:c r="C84" t="str">
        <x:v>C023</x:v>
      </x:c>
      <x:c r="D84" t="str">
        <x:v>Customer 23</x:v>
      </x:c>
      <x:c r="E84" t="str">
        <x:v>Corporate</x:v>
      </x:c>
      <x:c r="F84" t="str">
        <x:v>East</x:v>
      </x:c>
      <x:c r="G84" t="str">
        <x:v>P012</x:v>
      </x:c>
      <x:c r="H84" t="str">
        <x:v>Dashboard Setup</x:v>
      </x:c>
      <x:c r="I84" t="str">
        <x:v>Services</x:v>
      </x:c>
      <x:c r="J84" t="n">
        <x:v>3</x:v>
      </x:c>
      <x:c r="K84" s="12" t="n">
        <x:v>450</x:v>
      </x:c>
      <x:c r="L84" s="12" t="n">
        <x:v>205</x:v>
      </x:c>
      <x:c r="M84" s="12" t="n">
        <x:f>J84*K84</x:f>
        <x:v>1350</x:v>
      </x:c>
      <x:c r="N84" s="12" t="n">
        <x:f>J84*L84</x:f>
        <x:v>615</x:v>
      </x:c>
      <x:c r="O84" s="12" t="n">
        <x:f>M84-N84</x:f>
        <x:v>735</x:v>
      </x:c>
      <x:c r="P84" s="12" t="n">
        <x:v>18100</x:v>
      </x:c>
    </x:row>
    <x:row r="85">
      <x:c r="A85" t="str">
        <x:v>O0084</x:v>
      </x:c>
      <x:c r="B85" s="10" t="n">
        <x:v>46076</x:v>
      </x:c>
      <x:c r="C85" t="str">
        <x:v>C017</x:v>
      </x:c>
      <x:c r="D85" t="str">
        <x:v>Customer 17</x:v>
      </x:c>
      <x:c r="E85" t="str">
        <x:v>Student</x:v>
      </x:c>
      <x:c r="F85" t="str">
        <x:v>North</x:v>
      </x:c>
      <x:c r="G85" t="str">
        <x:v>P012</x:v>
      </x:c>
      <x:c r="H85" t="str">
        <x:v>Dashboard Setup</x:v>
      </x:c>
      <x:c r="I85" t="str">
        <x:v>Services</x:v>
      </x:c>
      <x:c r="J85" t="n">
        <x:v>3</x:v>
      </x:c>
      <x:c r="K85" s="12" t="n">
        <x:v>450</x:v>
      </x:c>
      <x:c r="L85" s="12" t="n">
        <x:v>205</x:v>
      </x:c>
      <x:c r="M85" s="12" t="n">
        <x:f>J85*K85</x:f>
        <x:v>1350</x:v>
      </x:c>
      <x:c r="N85" s="12" t="n">
        <x:f>J85*L85</x:f>
        <x:v>615</x:v>
      </x:c>
      <x:c r="O85" s="12" t="n">
        <x:f>M85-N85</x:f>
        <x:v>735</x:v>
      </x:c>
      <x:c r="P85" s="12" t="n">
        <x:v>15450</x:v>
      </x:c>
    </x:row>
    <x:row r="86">
      <x:c r="A86" t="str">
        <x:v>O0085</x:v>
      </x:c>
      <x:c r="B86" s="10" t="n">
        <x:v>46383</x:v>
      </x:c>
      <x:c r="C86" t="str">
        <x:v>C036</x:v>
      </x:c>
      <x:c r="D86" t="str">
        <x:v>Customer 36</x:v>
      </x:c>
      <x:c r="E86" t="str">
        <x:v>Community</x:v>
      </x:c>
      <x:c r="F86" t="str">
        <x:v>West</x:v>
      </x:c>
      <x:c r="G86" t="str">
        <x:v>P008</x:v>
      </x:c>
      <x:c r="H86" t="str">
        <x:v>Headset</x:v>
      </x:c>
      <x:c r="I86" t="str">
        <x:v>Hardware</x:v>
      </x:c>
      <x:c r="J86" t="n">
        <x:v>5</x:v>
      </x:c>
      <x:c r="K86" s="12" t="n">
        <x:v>118.68</x:v>
      </x:c>
      <x:c r="L86" s="12" t="n">
        <x:v>72</x:v>
      </x:c>
      <x:c r="M86" s="12" t="n">
        <x:f>J86*K86</x:f>
        <x:v>593.4000000000001</x:v>
      </x:c>
      <x:c r="N86" s="12" t="n">
        <x:f>J86*L86</x:f>
        <x:v>360</x:v>
      </x:c>
      <x:c r="O86" s="12" t="n">
        <x:f>M86-N86</x:f>
        <x:v>233.4000000000001</x:v>
      </x:c>
      <x:c r="P86" s="12" t="n">
        <x:v>18950</x:v>
      </x:c>
    </x:row>
    <x:row r="87">
      <x:c r="A87" t="str">
        <x:v>O0086</x:v>
      </x:c>
      <x:c r="B87" s="10" t="n">
        <x:v>46161</x:v>
      </x:c>
      <x:c r="C87" t="str">
        <x:v>C012</x:v>
      </x:c>
      <x:c r="D87" t="str">
        <x:v>Customer 12</x:v>
      </x:c>
      <x:c r="E87" t="str">
        <x:v>Community</x:v>
      </x:c>
      <x:c r="F87" t="str">
        <x:v>West</x:v>
      </x:c>
      <x:c r="G87" t="str">
        <x:v>P008</x:v>
      </x:c>
      <x:c r="H87" t="str">
        <x:v>Headset</x:v>
      </x:c>
      <x:c r="I87" t="str">
        <x:v>Hardware</x:v>
      </x:c>
      <x:c r="J87" t="n">
        <x:v>1</x:v>
      </x:c>
      <x:c r="K87" s="12" t="n">
        <x:v>129</x:v>
      </x:c>
      <x:c r="L87" s="12" t="n">
        <x:v>72</x:v>
      </x:c>
      <x:c r="M87" s="12" t="n">
        <x:f>J87*K87</x:f>
        <x:v>129</x:v>
      </x:c>
      <x:c r="N87" s="12" t="n">
        <x:f>J87*L87</x:f>
        <x:v>72</x:v>
      </x:c>
      <x:c r="O87" s="12" t="n">
        <x:f>M87-N87</x:f>
        <x:v>57</x:v>
      </x:c>
      <x:c r="P87" s="12" t="n">
        <x:v>15800</x:v>
      </x:c>
    </x:row>
    <x:row r="88">
      <x:c r="A88" t="str">
        <x:v>O0087</x:v>
      </x:c>
      <x:c r="B88" s="10" t="n">
        <x:v>46033</x:v>
      </x:c>
      <x:c r="C88" t="str">
        <x:v>C020</x:v>
      </x:c>
      <x:c r="D88" t="str">
        <x:v>Customer 20</x:v>
      </x:c>
      <x:c r="E88" t="str">
        <x:v>Community</x:v>
      </x:c>
      <x:c r="F88" t="str">
        <x:v>West</x:v>
      </x:c>
      <x:c r="G88" t="str">
        <x:v>P012</x:v>
      </x:c>
      <x:c r="H88" t="str">
        <x:v>Dashboard Setup</x:v>
      </x:c>
      <x:c r="I88" t="str">
        <x:v>Services</x:v>
      </x:c>
      <x:c r="J88" t="n">
        <x:v>2</x:v>
      </x:c>
      <x:c r="K88" s="12" t="n">
        <x:v>414</x:v>
      </x:c>
      <x:c r="L88" s="12" t="n">
        <x:v>205</x:v>
      </x:c>
      <x:c r="M88" s="12" t="n">
        <x:f>J88*K88</x:f>
        <x:v>828</x:v>
      </x:c>
      <x:c r="N88" s="12" t="n">
        <x:f>J88*L88</x:f>
        <x:v>410</x:v>
      </x:c>
      <x:c r="O88" s="12" t="n">
        <x:f>M88-N88</x:f>
        <x:v>418</x:v>
      </x:c>
      <x:c r="P88" s="12" t="n">
        <x:v>14000</x:v>
      </x:c>
    </x:row>
    <x:row r="89">
      <x:c r="A89" t="str">
        <x:v>O0088</x:v>
      </x:c>
      <x:c r="B89" s="10" t="n">
        <x:v>46178</x:v>
      </x:c>
      <x:c r="C89" t="str">
        <x:v>C005</x:v>
      </x:c>
      <x:c r="D89" t="str">
        <x:v>Customer 05</x:v>
      </x:c>
      <x:c r="E89" t="str">
        <x:v>Student</x:v>
      </x:c>
      <x:c r="F89" t="str">
        <x:v>North</x:v>
      </x:c>
      <x:c r="G89" t="str">
        <x:v>P011</x:v>
      </x:c>
      <x:c r="H89" t="str">
        <x:v>Data Cleanup Service</x:v>
      </x:c>
      <x:c r="I89" t="str">
        <x:v>Services</x:v>
      </x:c>
      <x:c r="J89" t="n">
        <x:v>1</x:v>
      </x:c>
      <x:c r="K89" s="12" t="n">
        <x:v>294.4</x:v>
      </x:c>
      <x:c r="L89" s="12" t="n">
        <x:v>140</x:v>
      </x:c>
      <x:c r="M89" s="12" t="n">
        <x:f>J89*K89</x:f>
        <x:v>294.4</x:v>
      </x:c>
      <x:c r="N89" s="12" t="n">
        <x:f>J89*L89</x:f>
        <x:v>140</x:v>
      </x:c>
      <x:c r="O89" s="12" t="n">
        <x:f>M89-N89</x:f>
        <x:v>154.39999999999998</x:v>
      </x:c>
      <x:c r="P89" s="12" t="n">
        <x:v>17250</x:v>
      </x:c>
    </x:row>
    <x:row r="90">
      <x:c r="A90" t="str">
        <x:v>O0089</x:v>
      </x:c>
      <x:c r="B90" s="10" t="n">
        <x:v>46024</x:v>
      </x:c>
      <x:c r="C90" t="str">
        <x:v>C008</x:v>
      </x:c>
      <x:c r="D90" t="str">
        <x:v>Customer 08</x:v>
      </x:c>
      <x:c r="E90" t="str">
        <x:v>Community</x:v>
      </x:c>
      <x:c r="F90" t="str">
        <x:v>West</x:v>
      </x:c>
      <x:c r="G90" t="str">
        <x:v>P001</x:v>
      </x:c>
      <x:c r="H90" t="str">
        <x:v>Laptop Stand</x:v>
      </x:c>
      <x:c r="I90" t="str">
        <x:v>Accessories</x:v>
      </x:c>
      <x:c r="J90" t="n">
        <x:v>5</x:v>
      </x:c>
      <x:c r="K90" s="12" t="n">
        <x:v>45</x:v>
      </x:c>
      <x:c r="L90" s="12" t="n">
        <x:v>23</x:v>
      </x:c>
      <x:c r="M90" s="12" t="n">
        <x:f>J90*K90</x:f>
        <x:v>225</x:v>
      </x:c>
      <x:c r="N90" s="12" t="n">
        <x:f>J90*L90</x:f>
        <x:v>115</x:v>
      </x:c>
      <x:c r="O90" s="12" t="n">
        <x:f>M90-N90</x:f>
        <x:v>110</x:v>
      </x:c>
      <x:c r="P90" s="12" t="n">
        <x:v>14000</x:v>
      </x:c>
    </x:row>
    <x:row r="91">
      <x:c r="A91" t="str">
        <x:v>O0090</x:v>
      </x:c>
      <x:c r="B91" s="10" t="n">
        <x:v>46031</x:v>
      </x:c>
      <x:c r="C91" t="str">
        <x:v>C003</x:v>
      </x:c>
      <x:c r="D91" t="str">
        <x:v>Customer 03</x:v>
      </x:c>
      <x:c r="E91" t="str">
        <x:v>Corporate</x:v>
      </x:c>
      <x:c r="F91" t="str">
        <x:v>East</x:v>
      </x:c>
      <x:c r="G91" t="str">
        <x:v>P009</x:v>
      </x:c>
      <x:c r="H91" t="str">
        <x:v>Cloud Starter Plan</x:v>
      </x:c>
      <x:c r="I91" t="str">
        <x:v>Services</x:v>
      </x:c>
      <x:c r="J91" t="n">
        <x:v>5</x:v>
      </x:c>
      <x:c r="K91" s="12" t="n">
        <x:v>180</x:v>
      </x:c>
      <x:c r="L91" s="12" t="n">
        <x:v>65</x:v>
      </x:c>
      <x:c r="M91" s="12" t="n">
        <x:f>J91*K91</x:f>
        <x:v>900</x:v>
      </x:c>
      <x:c r="N91" s="12" t="n">
        <x:f>J91*L91</x:f>
        <x:v>325</x:v>
      </x:c>
      <x:c r="O91" s="12" t="n">
        <x:f>M91-N91</x:f>
        <x:v>575</x:v>
      </x:c>
      <x:c r="P91" s="12" t="n">
        <x:v>14500</x:v>
      </x:c>
    </x:row>
    <x:row r="92">
      <x:c r="A92" t="str">
        <x:v>O0091</x:v>
      </x:c>
      <x:c r="B92" s="10" t="n">
        <x:v>46348</x:v>
      </x:c>
      <x:c r="C92" t="str">
        <x:v>C030</x:v>
      </x:c>
      <x:c r="D92" t="str">
        <x:v>Customer 30</x:v>
      </x:c>
      <x:c r="E92" t="str">
        <x:v>Small Business</x:v>
      </x:c>
      <x:c r="F92" t="str">
        <x:v>South</x:v>
      </x:c>
      <x:c r="G92" t="str">
        <x:v>P004</x:v>
      </x:c>
      <x:c r="H92" t="str">
        <x:v>USB-C Hub</x:v>
      </x:c>
      <x:c r="I92" t="str">
        <x:v>Accessories</x:v>
      </x:c>
      <x:c r="J92" t="n">
        <x:v>1</x:v>
      </x:c>
      <x:c r="K92" s="12" t="n">
        <x:v>79</x:v>
      </x:c>
      <x:c r="L92" s="12" t="n">
        <x:v>44</x:v>
      </x:c>
      <x:c r="M92" s="12" t="n">
        <x:f>J92*K92</x:f>
        <x:v>79</x:v>
      </x:c>
      <x:c r="N92" s="12" t="n">
        <x:f>J92*L92</x:f>
        <x:v>44</x:v>
      </x:c>
      <x:c r="O92" s="12" t="n">
        <x:f>M92-N92</x:f>
        <x:v>35</x:v>
      </x:c>
      <x:c r="P92" s="12" t="n">
        <x:v>17500</x:v>
      </x:c>
    </x:row>
    <x:row r="93">
      <x:c r="A93" t="str">
        <x:v>O0092</x:v>
      </x:c>
      <x:c r="B93" s="10" t="n">
        <x:v>46181</x:v>
      </x:c>
      <x:c r="C93" t="str">
        <x:v>C038</x:v>
      </x:c>
      <x:c r="D93" t="str">
        <x:v>Customer 38</x:v>
      </x:c>
      <x:c r="E93" t="str">
        <x:v>Small Business</x:v>
      </x:c>
      <x:c r="F93" t="str">
        <x:v>South</x:v>
      </x:c>
      <x:c r="G93" t="str">
        <x:v>P001</x:v>
      </x:c>
      <x:c r="H93" t="str">
        <x:v>Laptop Stand</x:v>
      </x:c>
      <x:c r="I93" t="str">
        <x:v>Accessories</x:v>
      </x:c>
      <x:c r="J93" t="n">
        <x:v>1</x:v>
      </x:c>
      <x:c r="K93" s="12" t="n">
        <x:v>45</x:v>
      </x:c>
      <x:c r="L93" s="12" t="n">
        <x:v>23</x:v>
      </x:c>
      <x:c r="M93" s="12" t="n">
        <x:f>J93*K93</x:f>
        <x:v>45</x:v>
      </x:c>
      <x:c r="N93" s="12" t="n">
        <x:f>J93*L93</x:f>
        <x:v>23</x:v>
      </x:c>
      <x:c r="O93" s="12" t="n">
        <x:f>M93-N93</x:f>
        <x:v>22</x:v>
      </x:c>
      <x:c r="P93" s="12" t="n">
        <x:v>15250</x:v>
      </x:c>
    </x:row>
    <x:row r="94">
      <x:c r="A94" t="str">
        <x:v>O0093</x:v>
      </x:c>
      <x:c r="B94" s="10" t="n">
        <x:v>46260</x:v>
      </x:c>
      <x:c r="C94" t="str">
        <x:v>C002</x:v>
      </x:c>
      <x:c r="D94" t="str">
        <x:v>Customer 02</x:v>
      </x:c>
      <x:c r="E94" t="str">
        <x:v>Small Business</x:v>
      </x:c>
      <x:c r="F94" t="str">
        <x:v>South</x:v>
      </x:c>
      <x:c r="G94" t="str">
        <x:v>P005</x:v>
      </x:c>
      <x:c r="H94" t="str">
        <x:v>24-inch Monitor</x:v>
      </x:c>
      <x:c r="I94" t="str">
        <x:v>Hardware</x:v>
      </x:c>
      <x:c r="J94" t="n">
        <x:v>3</x:v>
      </x:c>
      <x:c r="K94" s="12" t="n">
        <x:v>249</x:v>
      </x:c>
      <x:c r="L94" s="12" t="n">
        <x:v>169</x:v>
      </x:c>
      <x:c r="M94" s="12" t="n">
        <x:f>J94*K94</x:f>
        <x:v>747</x:v>
      </x:c>
      <x:c r="N94" s="12" t="n">
        <x:f>J94*L94</x:f>
        <x:v>507</x:v>
      </x:c>
      <x:c r="O94" s="12" t="n">
        <x:f>M94-N94</x:f>
        <x:v>240</x:v>
      </x:c>
      <x:c r="P94" s="12" t="n">
        <x:v>16150</x:v>
      </x:c>
    </x:row>
    <x:row r="95">
      <x:c r="A95" t="str">
        <x:v>O0094</x:v>
      </x:c>
      <x:c r="B95" s="10" t="n">
        <x:v>46044</x:v>
      </x:c>
      <x:c r="C95" t="str">
        <x:v>C013</x:v>
      </x:c>
      <x:c r="D95" t="str">
        <x:v>Customer 13</x:v>
      </x:c>
      <x:c r="E95" t="str">
        <x:v>Student</x:v>
      </x:c>
      <x:c r="F95" t="str">
        <x:v>North</x:v>
      </x:c>
      <x:c r="G95" t="str">
        <x:v>P006</x:v>
      </x:c>
      <x:c r="H95" t="str">
        <x:v>27-inch Monitor</x:v>
      </x:c>
      <x:c r="I95" t="str">
        <x:v>Hardware</x:v>
      </x:c>
      <x:c r="J95" t="n">
        <x:v>4</x:v>
      </x:c>
      <x:c r="K95" s="12" t="n">
        <x:v>349</x:v>
      </x:c>
      <x:c r="L95" s="12" t="n">
        <x:v>235</x:v>
      </x:c>
      <x:c r="M95" s="12" t="n">
        <x:f>J95*K95</x:f>
        <x:v>1396</x:v>
      </x:c>
      <x:c r="N95" s="12" t="n">
        <x:f>J95*L95</x:f>
        <x:v>940</x:v>
      </x:c>
      <x:c r="O95" s="12" t="n">
        <x:f>M95-N95</x:f>
        <x:v>456</x:v>
      </x:c>
      <x:c r="P95" s="12" t="n">
        <x:v>15000</x:v>
      </x:c>
    </x:row>
    <x:row r="96">
      <x:c r="A96" t="str">
        <x:v>O0095</x:v>
      </x:c>
      <x:c r="B96" s="10" t="n">
        <x:v>46241</x:v>
      </x:c>
      <x:c r="C96" t="str">
        <x:v>C029</x:v>
      </x:c>
      <x:c r="D96" t="str">
        <x:v>Customer 29</x:v>
      </x:c>
      <x:c r="E96" t="str">
        <x:v>Student</x:v>
      </x:c>
      <x:c r="F96" t="str">
        <x:v>North</x:v>
      </x:c>
      <x:c r="G96" t="str">
        <x:v>P004</x:v>
      </x:c>
      <x:c r="H96" t="str">
        <x:v>USB-C Hub</x:v>
      </x:c>
      <x:c r="I96" t="str">
        <x:v>Accessories</x:v>
      </x:c>
      <x:c r="J96" t="n">
        <x:v>1</x:v>
      </x:c>
      <x:c r="K96" s="12" t="n">
        <x:v>79</x:v>
      </x:c>
      <x:c r="L96" s="12" t="n">
        <x:v>44</x:v>
      </x:c>
      <x:c r="M96" s="12" t="n">
        <x:f>J96*K96</x:f>
        <x:v>79</x:v>
      </x:c>
      <x:c r="N96" s="12" t="n">
        <x:f>J96*L96</x:f>
        <x:v>44</x:v>
      </x:c>
      <x:c r="O96" s="12" t="n">
        <x:f>M96-N96</x:f>
        <x:v>35</x:v>
      </x:c>
      <x:c r="P96" s="12" t="n">
        <x:v>18150</x:v>
      </x:c>
    </x:row>
    <x:row r="97">
      <x:c r="A97" t="str">
        <x:v>O0096</x:v>
      </x:c>
      <x:c r="B97" s="10" t="n">
        <x:v>46182</x:v>
      </x:c>
      <x:c r="C97" t="str">
        <x:v>C038</x:v>
      </x:c>
      <x:c r="D97" t="str">
        <x:v>Customer 38</x:v>
      </x:c>
      <x:c r="E97" t="str">
        <x:v>Small Business</x:v>
      </x:c>
      <x:c r="F97" t="str">
        <x:v>South</x:v>
      </x:c>
      <x:c r="G97" t="str">
        <x:v>P012</x:v>
      </x:c>
      <x:c r="H97" t="str">
        <x:v>Dashboard Setup</x:v>
      </x:c>
      <x:c r="I97" t="str">
        <x:v>Services</x:v>
      </x:c>
      <x:c r="J97" t="n">
        <x:v>1</x:v>
      </x:c>
      <x:c r="K97" s="12" t="n">
        <x:v>450</x:v>
      </x:c>
      <x:c r="L97" s="12" t="n">
        <x:v>205</x:v>
      </x:c>
      <x:c r="M97" s="12" t="n">
        <x:f>J97*K97</x:f>
        <x:v>450</x:v>
      </x:c>
      <x:c r="N97" s="12" t="n">
        <x:f>J97*L97</x:f>
        <x:v>205</x:v>
      </x:c>
      <x:c r="O97" s="12" t="n">
        <x:f>M97-N97</x:f>
        <x:v>245</x:v>
      </x:c>
      <x:c r="P97" s="12" t="n">
        <x:v>15250</x:v>
      </x:c>
    </x:row>
    <x:row r="98">
      <x:c r="A98" t="str">
        <x:v>O0097</x:v>
      </x:c>
      <x:c r="B98" s="10" t="n">
        <x:v>46292</x:v>
      </x:c>
      <x:c r="C98" t="str">
        <x:v>C025</x:v>
      </x:c>
      <x:c r="D98" t="str">
        <x:v>Customer 25</x:v>
      </x:c>
      <x:c r="E98" t="str">
        <x:v>Student</x:v>
      </x:c>
      <x:c r="F98" t="str">
        <x:v>North</x:v>
      </x:c>
      <x:c r="G98" t="str">
        <x:v>P008</x:v>
      </x:c>
      <x:c r="H98" t="str">
        <x:v>Headset</x:v>
      </x:c>
      <x:c r="I98" t="str">
        <x:v>Hardware</x:v>
      </x:c>
      <x:c r="J98" t="n">
        <x:v>5</x:v>
      </x:c>
      <x:c r="K98" s="12" t="n">
        <x:v>129</x:v>
      </x:c>
      <x:c r="L98" s="12" t="n">
        <x:v>72</x:v>
      </x:c>
      <x:c r="M98" s="12" t="n">
        <x:f>J98*K98</x:f>
        <x:v>645</x:v>
      </x:c>
      <x:c r="N98" s="12" t="n">
        <x:f>J98*L98</x:f>
        <x:v>360</x:v>
      </x:c>
      <x:c r="O98" s="12" t="n">
        <x:f>M98-N98</x:f>
        <x:v>285</x:v>
      </x:c>
      <x:c r="P98" s="12" t="n">
        <x:v>18600</x:v>
      </x:c>
    </x:row>
    <x:row r="99">
      <x:c r="A99" t="str">
        <x:v>O0098</x:v>
      </x:c>
      <x:c r="B99" s="10" t="n">
        <x:v>46095</x:v>
      </x:c>
      <x:c r="C99" t="str">
        <x:v>C032</x:v>
      </x:c>
      <x:c r="D99" t="str">
        <x:v>Customer 32</x:v>
      </x:c>
      <x:c r="E99" t="str">
        <x:v>Community</x:v>
      </x:c>
      <x:c r="F99" t="str">
        <x:v>West</x:v>
      </x:c>
      <x:c r="G99" t="str">
        <x:v>P006</x:v>
      </x:c>
      <x:c r="H99" t="str">
        <x:v>27-inch Monitor</x:v>
      </x:c>
      <x:c r="I99" t="str">
        <x:v>Hardware</x:v>
      </x:c>
      <x:c r="J99" t="n">
        <x:v>1</x:v>
      </x:c>
      <x:c r="K99" s="12" t="n">
        <x:v>321.08</x:v>
      </x:c>
      <x:c r="L99" s="12" t="n">
        <x:v>235</x:v>
      </x:c>
      <x:c r="M99" s="12" t="n">
        <x:f>J99*K99</x:f>
        <x:v>321.08</x:v>
      </x:c>
      <x:c r="N99" s="12" t="n">
        <x:f>J99*L99</x:f>
        <x:v>235</x:v>
      </x:c>
      <x:c r="O99" s="12" t="n">
        <x:f>M99-N99</x:f>
        <x:v>86.07999999999998</x:v>
      </x:c>
      <x:c r="P99" s="12" t="n">
        <x:v>14900</x:v>
      </x:c>
    </x:row>
    <x:row r="100">
      <x:c r="A100" t="str">
        <x:v>O0099</x:v>
      </x:c>
      <x:c r="B100" s="10" t="n">
        <x:v>46116</x:v>
      </x:c>
      <x:c r="C100" t="str">
        <x:v>C013</x:v>
      </x:c>
      <x:c r="D100" t="str">
        <x:v>Customer 13</x:v>
      </x:c>
      <x:c r="E100" t="str">
        <x:v>Student</x:v>
      </x:c>
      <x:c r="F100" t="str">
        <x:v>North</x:v>
      </x:c>
      <x:c r="G100" t="str">
        <x:v>P005</x:v>
      </x:c>
      <x:c r="H100" t="str">
        <x:v>24-inch Monitor</x:v>
      </x:c>
      <x:c r="I100" t="str">
        <x:v>Hardware</x:v>
      </x:c>
      <x:c r="J100" t="n">
        <x:v>1</x:v>
      </x:c>
      <x:c r="K100" s="12" t="n">
        <x:v>249</x:v>
      </x:c>
      <x:c r="L100" s="12" t="n">
        <x:v>169</x:v>
      </x:c>
      <x:c r="M100" s="12" t="n">
        <x:f>J100*K100</x:f>
        <x:v>249</x:v>
      </x:c>
      <x:c r="N100" s="12" t="n">
        <x:f>J100*L100</x:f>
        <x:v>169</x:v>
      </x:c>
      <x:c r="O100" s="12" t="n">
        <x:f>M100-N100</x:f>
        <x:v>80</x:v>
      </x:c>
      <x:c r="P100" s="12" t="n">
        <x:v>16350</x:v>
      </x:c>
    </x:row>
    <x:row r="101">
      <x:c r="A101" t="str">
        <x:v>O0100</x:v>
      </x:c>
      <x:c r="B101" s="10" t="n">
        <x:v>46312</x:v>
      </x:c>
      <x:c r="C101" t="str">
        <x:v>C031</x:v>
      </x:c>
      <x:c r="D101" t="str">
        <x:v>Customer 31</x:v>
      </x:c>
      <x:c r="E101" t="str">
        <x:v>Corporate</x:v>
      </x:c>
      <x:c r="F101" t="str">
        <x:v>East</x:v>
      </x:c>
      <x:c r="G101" t="str">
        <x:v>P002</x:v>
      </x:c>
      <x:c r="H101" t="str">
        <x:v>Wireless Mouse</x:v>
      </x:c>
      <x:c r="I101" t="str">
        <x:v>Accessories</x:v>
      </x:c>
      <x:c r="J101" t="n">
        <x:v>4</x:v>
      </x:c>
      <x:c r="K101" s="12" t="n">
        <x:v>34.96</x:v>
      </x:c>
      <x:c r="L101" s="12" t="n">
        <x:v>18</x:v>
      </x:c>
      <x:c r="M101" s="12" t="n">
        <x:f>J101*K101</x:f>
        <x:v>139.84</x:v>
      </x:c>
      <x:c r="N101" s="12" t="n">
        <x:f>J101*L101</x:f>
        <x:v>72</x:v>
      </x:c>
      <x:c r="O101" s="12" t="n">
        <x:f>M101-N101</x:f>
        <x:v>67.84</x:v>
      </x:c>
      <x:c r="P101" s="12" t="n">
        <x:v>18550</x:v>
      </x:c>
    </x:row>
    <x:row r="102">
      <x:c r="A102" t="str">
        <x:v>O0101</x:v>
      </x:c>
      <x:c r="B102" s="10" t="n">
        <x:v>46036</x:v>
      </x:c>
      <x:c r="C102" t="str">
        <x:v>C039</x:v>
      </x:c>
      <x:c r="D102" t="str">
        <x:v>Customer 39</x:v>
      </x:c>
      <x:c r="E102" t="str">
        <x:v>Corporate</x:v>
      </x:c>
      <x:c r="F102" t="str">
        <x:v>East</x:v>
      </x:c>
      <x:c r="G102" t="str">
        <x:v>P008</x:v>
      </x:c>
      <x:c r="H102" t="str">
        <x:v>Headset</x:v>
      </x:c>
      <x:c r="I102" t="str">
        <x:v>Hardware</x:v>
      </x:c>
      <x:c r="J102" t="n">
        <x:v>1</x:v>
      </x:c>
      <x:c r="K102" s="12" t="n">
        <x:v>118.68</x:v>
      </x:c>
      <x:c r="L102" s="12" t="n">
        <x:v>72</x:v>
      </x:c>
      <x:c r="M102" s="12" t="n">
        <x:f>J102*K102</x:f>
        <x:v>118.68</x:v>
      </x:c>
      <x:c r="N102" s="12" t="n">
        <x:f>J102*L102</x:f>
        <x:v>72</x:v>
      </x:c>
      <x:c r="O102" s="12" t="n">
        <x:f>M102-N102</x:f>
        <x:v>46.68000000000001</x:v>
      </x:c>
      <x:c r="P102" s="12" t="n">
        <x:v>14500</x:v>
      </x:c>
    </x:row>
    <x:row r="103">
      <x:c r="A103" t="str">
        <x:v>O0102</x:v>
      </x:c>
      <x:c r="B103" s="10" t="n">
        <x:v>46356</x:v>
      </x:c>
      <x:c r="C103" t="str">
        <x:v>C012</x:v>
      </x:c>
      <x:c r="D103" t="str">
        <x:v>Customer 12</x:v>
      </x:c>
      <x:c r="E103" t="str">
        <x:v>Community</x:v>
      </x:c>
      <x:c r="F103" t="str">
        <x:v>West</x:v>
      </x:c>
      <x:c r="G103" t="str">
        <x:v>P007</x:v>
      </x:c>
      <x:c r="H103" t="str">
        <x:v>Webcam</x:v>
      </x:c>
      <x:c r="I103" t="str">
        <x:v>Hardware</x:v>
      </x:c>
      <x:c r="J103" t="n">
        <x:v>1</x:v>
      </x:c>
      <x:c r="K103" s="12" t="n">
        <x:v>109</x:v>
      </x:c>
      <x:c r="L103" s="12" t="n">
        <x:v>61</x:v>
      </x:c>
      <x:c r="M103" s="12" t="n">
        <x:f>J103*K103</x:f>
        <x:v>109</x:v>
      </x:c>
      <x:c r="N103" s="12" t="n">
        <x:f>J103*L103</x:f>
        <x:v>61</x:v>
      </x:c>
      <x:c r="O103" s="12" t="n">
        <x:f>M103-N103</x:f>
        <x:v>48</x:v>
      </x:c>
      <x:c r="P103" s="12" t="n">
        <x:v>18500</x:v>
      </x:c>
    </x:row>
    <x:row r="104">
      <x:c r="A104" t="str">
        <x:v>O0103</x:v>
      </x:c>
      <x:c r="B104" s="10" t="n">
        <x:v>46345</x:v>
      </x:c>
      <x:c r="C104" t="str">
        <x:v>C001</x:v>
      </x:c>
      <x:c r="D104" t="str">
        <x:v>Customer 01</x:v>
      </x:c>
      <x:c r="E104" t="str">
        <x:v>Student</x:v>
      </x:c>
      <x:c r="F104" t="str">
        <x:v>North</x:v>
      </x:c>
      <x:c r="G104" t="str">
        <x:v>P012</x:v>
      </x:c>
      <x:c r="H104" t="str">
        <x:v>Dashboard Setup</x:v>
      </x:c>
      <x:c r="I104" t="str">
        <x:v>Services</x:v>
      </x:c>
      <x:c r="J104" t="n">
        <x:v>3</x:v>
      </x:c>
      <x:c r="K104" s="12" t="n">
        <x:v>450</x:v>
      </x:c>
      <x:c r="L104" s="12" t="n">
        <x:v>205</x:v>
      </x:c>
      <x:c r="M104" s="12" t="n">
        <x:f>J104*K104</x:f>
        <x:v>1350</x:v>
      </x:c>
      <x:c r="N104" s="12" t="n">
        <x:f>J104*L104</x:f>
        <x:v>615</x:v>
      </x:c>
      <x:c r="O104" s="12" t="n">
        <x:f>M104-N104</x:f>
        <x:v>735</x:v>
      </x:c>
      <x:c r="P104" s="12" t="n">
        <x:v>19500</x:v>
      </x:c>
    </x:row>
    <x:row r="105">
      <x:c r="A105" t="str">
        <x:v>O0104</x:v>
      </x:c>
      <x:c r="B105" s="10" t="n">
        <x:v>46119</x:v>
      </x:c>
      <x:c r="C105" t="str">
        <x:v>C002</x:v>
      </x:c>
      <x:c r="D105" t="str">
        <x:v>Customer 02</x:v>
      </x:c>
      <x:c r="E105" t="str">
        <x:v>Small Business</x:v>
      </x:c>
      <x:c r="F105" t="str">
        <x:v>South</x:v>
      </x:c>
      <x:c r="G105" t="str">
        <x:v>P007</x:v>
      </x:c>
      <x:c r="H105" t="str">
        <x:v>Webcam</x:v>
      </x:c>
      <x:c r="I105" t="str">
        <x:v>Hardware</x:v>
      </x:c>
      <x:c r="J105" t="n">
        <x:v>1</x:v>
      </x:c>
      <x:c r="K105" s="12" t="n">
        <x:v>100.28</x:v>
      </x:c>
      <x:c r="L105" s="12" t="n">
        <x:v>61</x:v>
      </x:c>
      <x:c r="M105" s="12" t="n">
        <x:f>J105*K105</x:f>
        <x:v>100.28</x:v>
      </x:c>
      <x:c r="N105" s="12" t="n">
        <x:f>J105*L105</x:f>
        <x:v>61</x:v>
      </x:c>
      <x:c r="O105" s="12" t="n">
        <x:f>M105-N105</x:f>
        <x:v>39.28</x:v>
      </x:c>
      <x:c r="P105" s="12" t="n">
        <x:v>14350</x:v>
      </x:c>
    </x:row>
    <x:row r="106">
      <x:c r="A106" t="str">
        <x:v>O0105</x:v>
      </x:c>
      <x:c r="B106" s="10" t="n">
        <x:v>46045</x:v>
      </x:c>
      <x:c r="C106" t="str">
        <x:v>C036</x:v>
      </x:c>
      <x:c r="D106" t="str">
        <x:v>Customer 36</x:v>
      </x:c>
      <x:c r="E106" t="str">
        <x:v>Community</x:v>
      </x:c>
      <x:c r="F106" t="str">
        <x:v>West</x:v>
      </x:c>
      <x:c r="G106" t="str">
        <x:v>P006</x:v>
      </x:c>
      <x:c r="H106" t="str">
        <x:v>27-inch Monitor</x:v>
      </x:c>
      <x:c r="I106" t="str">
        <x:v>Hardware</x:v>
      </x:c>
      <x:c r="J106" t="n">
        <x:v>1</x:v>
      </x:c>
      <x:c r="K106" s="12" t="n">
        <x:v>349</x:v>
      </x:c>
      <x:c r="L106" s="12" t="n">
        <x:v>235</x:v>
      </x:c>
      <x:c r="M106" s="12" t="n">
        <x:f>J106*K106</x:f>
        <x:v>349</x:v>
      </x:c>
      <x:c r="N106" s="12" t="n">
        <x:f>J106*L106</x:f>
        <x:v>235</x:v>
      </x:c>
      <x:c r="O106" s="12" t="n">
        <x:f>M106-N106</x:f>
        <x:v>114</x:v>
      </x:c>
      <x:c r="P106" s="12" t="n">
        <x:v>14000</x:v>
      </x:c>
    </x:row>
    <x:row r="107">
      <x:c r="A107" t="str">
        <x:v>O0106</x:v>
      </x:c>
      <x:c r="B107" s="10" t="n">
        <x:v>46065</x:v>
      </x:c>
      <x:c r="C107" t="str">
        <x:v>C019</x:v>
      </x:c>
      <x:c r="D107" t="str">
        <x:v>Customer 19</x:v>
      </x:c>
      <x:c r="E107" t="str">
        <x:v>Corporate</x:v>
      </x:c>
      <x:c r="F107" t="str">
        <x:v>East</x:v>
      </x:c>
      <x:c r="G107" t="str">
        <x:v>P012</x:v>
      </x:c>
      <x:c r="H107" t="str">
        <x:v>Dashboard Setup</x:v>
      </x:c>
      <x:c r="I107" t="str">
        <x:v>Services</x:v>
      </x:c>
      <x:c r="J107" t="n">
        <x:v>3</x:v>
      </x:c>
      <x:c r="K107" s="12" t="n">
        <x:v>450</x:v>
      </x:c>
      <x:c r="L107" s="12" t="n">
        <x:v>205</x:v>
      </x:c>
      <x:c r="M107" s="12" t="n">
        <x:f>J107*K107</x:f>
        <x:v>1350</x:v>
      </x:c>
      <x:c r="N107" s="12" t="n">
        <x:f>J107*L107</x:f>
        <x:v>615</x:v>
      </x:c>
      <x:c r="O107" s="12" t="n">
        <x:f>M107-N107</x:f>
        <x:v>735</x:v>
      </x:c>
      <x:c r="P107" s="12" t="n">
        <x:v>14950</x:v>
      </x:c>
    </x:row>
    <x:row r="108">
      <x:c r="A108" t="str">
        <x:v>O0107</x:v>
      </x:c>
      <x:c r="B108" s="10" t="n">
        <x:v>46148</x:v>
      </x:c>
      <x:c r="C108" t="str">
        <x:v>C039</x:v>
      </x:c>
      <x:c r="D108" t="str">
        <x:v>Customer 39</x:v>
      </x:c>
      <x:c r="E108" t="str">
        <x:v>Corporate</x:v>
      </x:c>
      <x:c r="F108" t="str">
        <x:v>East</x:v>
      </x:c>
      <x:c r="G108" t="str">
        <x:v>P002</x:v>
      </x:c>
      <x:c r="H108" t="str">
        <x:v>Wireless Mouse</x:v>
      </x:c>
      <x:c r="I108" t="str">
        <x:v>Accessories</x:v>
      </x:c>
      <x:c r="J108" t="n">
        <x:v>5</x:v>
      </x:c>
      <x:c r="K108" s="12" t="n">
        <x:v>34.96</x:v>
      </x:c>
      <x:c r="L108" s="12" t="n">
        <x:v>18</x:v>
      </x:c>
      <x:c r="M108" s="12" t="n">
        <x:f>J108*K108</x:f>
        <x:v>174.8</x:v>
      </x:c>
      <x:c r="N108" s="12" t="n">
        <x:f>J108*L108</x:f>
        <x:v>90</x:v>
      </x:c>
      <x:c r="O108" s="12" t="n">
        <x:f>M108-N108</x:f>
        <x:v>84.80000000000001</x:v>
      </x:c>
      <x:c r="P108" s="12" t="n">
        <x:v>16300</x:v>
      </x:c>
    </x:row>
    <x:row r="109">
      <x:c r="A109" t="str">
        <x:v>O0108</x:v>
      </x:c>
      <x:c r="B109" s="10" t="n">
        <x:v>46143</x:v>
      </x:c>
      <x:c r="C109" t="str">
        <x:v>C038</x:v>
      </x:c>
      <x:c r="D109" t="str">
        <x:v>Customer 38</x:v>
      </x:c>
      <x:c r="E109" t="str">
        <x:v>Small Business</x:v>
      </x:c>
      <x:c r="F109" t="str">
        <x:v>South</x:v>
      </x:c>
      <x:c r="G109" t="str">
        <x:v>P009</x:v>
      </x:c>
      <x:c r="H109" t="str">
        <x:v>Cloud Starter Plan</x:v>
      </x:c>
      <x:c r="I109" t="str">
        <x:v>Services</x:v>
      </x:c>
      <x:c r="J109" t="n">
        <x:v>4</x:v>
      </x:c>
      <x:c r="K109" s="12" t="n">
        <x:v>180</x:v>
      </x:c>
      <x:c r="L109" s="12" t="n">
        <x:v>65</x:v>
      </x:c>
      <x:c r="M109" s="12" t="n">
        <x:f>J109*K109</x:f>
        <x:v>720</x:v>
      </x:c>
      <x:c r="N109" s="12" t="n">
        <x:f>J109*L109</x:f>
        <x:v>260</x:v>
      </x:c>
      <x:c r="O109" s="12" t="n">
        <x:f>M109-N109</x:f>
        <x:v>460</x:v>
      </x:c>
      <x:c r="P109" s="12" t="n">
        <x:v>14800</x:v>
      </x:c>
    </x:row>
    <x:row r="110">
      <x:c r="A110" t="str">
        <x:v>O0109</x:v>
      </x:c>
      <x:c r="B110" s="10" t="n">
        <x:v>46138</x:v>
      </x:c>
      <x:c r="C110" t="str">
        <x:v>C022</x:v>
      </x:c>
      <x:c r="D110" t="str">
        <x:v>Customer 22</x:v>
      </x:c>
      <x:c r="E110" t="str">
        <x:v>Small Business</x:v>
      </x:c>
      <x:c r="F110" t="str">
        <x:v>South</x:v>
      </x:c>
      <x:c r="G110" t="str">
        <x:v>P003</x:v>
      </x:c>
      <x:c r="H110" t="str">
        <x:v>Keyboard</x:v>
      </x:c>
      <x:c r="I110" t="str">
        <x:v>Accessories</x:v>
      </x:c>
      <x:c r="J110" t="n">
        <x:v>5</x:v>
      </x:c>
      <x:c r="K110" s="12" t="n">
        <x:v>57.04</x:v>
      </x:c>
      <x:c r="L110" s="12" t="n">
        <x:v>33</x:v>
      </x:c>
      <x:c r="M110" s="12" t="n">
        <x:f>J110*K110</x:f>
        <x:v>285.2</x:v>
      </x:c>
      <x:c r="N110" s="12" t="n">
        <x:f>J110*L110</x:f>
        <x:v>165</x:v>
      </x:c>
      <x:c r="O110" s="12" t="n">
        <x:f>M110-N110</x:f>
        <x:v>120.19999999999999</x:v>
      </x:c>
      <x:c r="P110" s="12" t="n">
        <x:v>14350</x:v>
      </x:c>
    </x:row>
    <x:row r="111">
      <x:c r="A111" t="str">
        <x:v>O0110</x:v>
      </x:c>
      <x:c r="B111" s="10" t="n">
        <x:v>46051</x:v>
      </x:c>
      <x:c r="C111" t="str">
        <x:v>C028</x:v>
      </x:c>
      <x:c r="D111" t="str">
        <x:v>Customer 28</x:v>
      </x:c>
      <x:c r="E111" t="str">
        <x:v>Community</x:v>
      </x:c>
      <x:c r="F111" t="str">
        <x:v>West</x:v>
      </x:c>
      <x:c r="G111" t="str">
        <x:v>P012</x:v>
      </x:c>
      <x:c r="H111" t="str">
        <x:v>Dashboard Setup</x:v>
      </x:c>
      <x:c r="I111" t="str">
        <x:v>Services</x:v>
      </x:c>
      <x:c r="J111" t="n">
        <x:v>3</x:v>
      </x:c>
      <x:c r="K111" s="12" t="n">
        <x:v>450</x:v>
      </x:c>
      <x:c r="L111" s="12" t="n">
        <x:v>205</x:v>
      </x:c>
      <x:c r="M111" s="12" t="n">
        <x:f>J111*K111</x:f>
        <x:v>1350</x:v>
      </x:c>
      <x:c r="N111" s="12" t="n">
        <x:f>J111*L111</x:f>
        <x:v>615</x:v>
      </x:c>
      <x:c r="O111" s="12" t="n">
        <x:f>M111-N111</x:f>
        <x:v>735</x:v>
      </x:c>
      <x:c r="P111" s="12" t="n">
        <x:v>14000</x:v>
      </x:c>
    </x:row>
    <x:row r="112">
      <x:c r="A112" t="str">
        <x:v>O0111</x:v>
      </x:c>
      <x:c r="B112" s="10" t="n">
        <x:v>46179</x:v>
      </x:c>
      <x:c r="C112" t="str">
        <x:v>C012</x:v>
      </x:c>
      <x:c r="D112" t="str">
        <x:v>Customer 12</x:v>
      </x:c>
      <x:c r="E112" t="str">
        <x:v>Community</x:v>
      </x:c>
      <x:c r="F112" t="str">
        <x:v>West</x:v>
      </x:c>
      <x:c r="G112" t="str">
        <x:v>P006</x:v>
      </x:c>
      <x:c r="H112" t="str">
        <x:v>27-inch Monitor</x:v>
      </x:c>
      <x:c r="I112" t="str">
        <x:v>Hardware</x:v>
      </x:c>
      <x:c r="J112" t="n">
        <x:v>2</x:v>
      </x:c>
      <x:c r="K112" s="12" t="n">
        <x:v>349</x:v>
      </x:c>
      <x:c r="L112" s="12" t="n">
        <x:v>235</x:v>
      </x:c>
      <x:c r="M112" s="12" t="n">
        <x:f>J112*K112</x:f>
        <x:v>698</x:v>
      </x:c>
      <x:c r="N112" s="12" t="n">
        <x:f>J112*L112</x:f>
        <x:v>470</x:v>
      </x:c>
      <x:c r="O112" s="12" t="n">
        <x:f>M112-N112</x:f>
        <x:v>228</x:v>
      </x:c>
      <x:c r="P112" s="12" t="n">
        <x:v>16250</x:v>
      </x:c>
    </x:row>
    <x:row r="113">
      <x:c r="A113" t="str">
        <x:v>O0112</x:v>
      </x:c>
      <x:c r="B113" s="10" t="n">
        <x:v>46058</x:v>
      </x:c>
      <x:c r="C113" t="str">
        <x:v>C006</x:v>
      </x:c>
      <x:c r="D113" t="str">
        <x:v>Customer 06</x:v>
      </x:c>
      <x:c r="E113" t="str">
        <x:v>Small Business</x:v>
      </x:c>
      <x:c r="F113" t="str">
        <x:v>South</x:v>
      </x:c>
      <x:c r="G113" t="str">
        <x:v>P005</x:v>
      </x:c>
      <x:c r="H113" t="str">
        <x:v>24-inch Monitor</x:v>
      </x:c>
      <x:c r="I113" t="str">
        <x:v>Hardware</x:v>
      </x:c>
      <x:c r="J113" t="n">
        <x:v>4</x:v>
      </x:c>
      <x:c r="K113" s="12" t="n">
        <x:v>249</x:v>
      </x:c>
      <x:c r="L113" s="12" t="n">
        <x:v>169</x:v>
      </x:c>
      <x:c r="M113" s="12" t="n">
        <x:f>J113*K113</x:f>
        <x:v>996</x:v>
      </x:c>
      <x:c r="N113" s="12" t="n">
        <x:f>J113*L113</x:f>
        <x:v>676</x:v>
      </x:c>
      <x:c r="O113" s="12" t="n">
        <x:f>M113-N113</x:f>
        <x:v>320</x:v>
      </x:c>
      <x:c r="P113" s="12" t="n">
        <x:v>13450</x:v>
      </x:c>
    </x:row>
    <x:row r="114">
      <x:c r="A114" t="str">
        <x:v>O0113</x:v>
      </x:c>
      <x:c r="B114" s="10" t="n">
        <x:v>46237</x:v>
      </x:c>
      <x:c r="C114" t="str">
        <x:v>C011</x:v>
      </x:c>
      <x:c r="D114" t="str">
        <x:v>Customer 11</x:v>
      </x:c>
      <x:c r="E114" t="str">
        <x:v>Corporate</x:v>
      </x:c>
      <x:c r="F114" t="str">
        <x:v>East</x:v>
      </x:c>
      <x:c r="G114" t="str">
        <x:v>P003</x:v>
      </x:c>
      <x:c r="H114" t="str">
        <x:v>Keyboard</x:v>
      </x:c>
      <x:c r="I114" t="str">
        <x:v>Accessories</x:v>
      </x:c>
      <x:c r="J114" t="n">
        <x:v>1</x:v>
      </x:c>
      <x:c r="K114" s="12" t="n">
        <x:v>62</x:v>
      </x:c>
      <x:c r="L114" s="12" t="n">
        <x:v>33</x:v>
      </x:c>
      <x:c r="M114" s="12" t="n">
        <x:f>J114*K114</x:f>
        <x:v>62</x:v>
      </x:c>
      <x:c r="N114" s="12" t="n">
        <x:f>J114*L114</x:f>
        <x:v>33</x:v>
      </x:c>
      <x:c r="O114" s="12" t="n">
        <x:f>M114-N114</x:f>
        <x:v>29</x:v>
      </x:c>
      <x:c r="P114" s="12" t="n">
        <x:v>17650</x:v>
      </x:c>
    </x:row>
    <x:row r="115">
      <x:c r="A115" t="str">
        <x:v>O0114</x:v>
      </x:c>
      <x:c r="B115" s="10" t="n">
        <x:v>46283</x:v>
      </x:c>
      <x:c r="C115" t="str">
        <x:v>C032</x:v>
      </x:c>
      <x:c r="D115" t="str">
        <x:v>Customer 32</x:v>
      </x:c>
      <x:c r="E115" t="str">
        <x:v>Community</x:v>
      </x:c>
      <x:c r="F115" t="str">
        <x:v>West</x:v>
      </x:c>
      <x:c r="G115" t="str">
        <x:v>P007</x:v>
      </x:c>
      <x:c r="H115" t="str">
        <x:v>Webcam</x:v>
      </x:c>
      <x:c r="I115" t="str">
        <x:v>Hardware</x:v>
      </x:c>
      <x:c r="J115" t="n">
        <x:v>4</x:v>
      </x:c>
      <x:c r="K115" s="12" t="n">
        <x:v>109</x:v>
      </x:c>
      <x:c r="L115" s="12" t="n">
        <x:v>61</x:v>
      </x:c>
      <x:c r="M115" s="12" t="n">
        <x:f>J115*K115</x:f>
        <x:v>436</x:v>
      </x:c>
      <x:c r="N115" s="12" t="n">
        <x:f>J115*L115</x:f>
        <x:v>244</x:v>
      </x:c>
      <x:c r="O115" s="12" t="n">
        <x:f>M115-N115</x:f>
        <x:v>192</x:v>
      </x:c>
      <x:c r="P115" s="12" t="n">
        <x:v>17600</x:v>
      </x:c>
    </x:row>
    <x:row r="116">
      <x:c r="A116" t="str">
        <x:v>O0115</x:v>
      </x:c>
      <x:c r="B116" s="10" t="n">
        <x:v>46188</x:v>
      </x:c>
      <x:c r="C116" t="str">
        <x:v>C036</x:v>
      </x:c>
      <x:c r="D116" t="str">
        <x:v>Customer 36</x:v>
      </x:c>
      <x:c r="E116" t="str">
        <x:v>Community</x:v>
      </x:c>
      <x:c r="F116" t="str">
        <x:v>West</x:v>
      </x:c>
      <x:c r="G116" t="str">
        <x:v>P012</x:v>
      </x:c>
      <x:c r="H116" t="str">
        <x:v>Dashboard Setup</x:v>
      </x:c>
      <x:c r="I116" t="str">
        <x:v>Services</x:v>
      </x:c>
      <x:c r="J116" t="n">
        <x:v>3</x:v>
      </x:c>
      <x:c r="K116" s="12" t="n">
        <x:v>450</x:v>
      </x:c>
      <x:c r="L116" s="12" t="n">
        <x:v>205</x:v>
      </x:c>
      <x:c r="M116" s="12" t="n">
        <x:f>J116*K116</x:f>
        <x:v>1350</x:v>
      </x:c>
      <x:c r="N116" s="12" t="n">
        <x:f>J116*L116</x:f>
        <x:v>615</x:v>
      </x:c>
      <x:c r="O116" s="12" t="n">
        <x:f>M116-N116</x:f>
        <x:v>735</x:v>
      </x:c>
      <x:c r="P116" s="12" t="n">
        <x:v>16250</x:v>
      </x:c>
    </x:row>
    <x:row r="117">
      <x:c r="A117" t="str">
        <x:v>O0116</x:v>
      </x:c>
      <x:c r="B117" s="10" t="n">
        <x:v>46308</x:v>
      </x:c>
      <x:c r="C117" t="str">
        <x:v>C018</x:v>
      </x:c>
      <x:c r="D117" t="str">
        <x:v>Customer 18</x:v>
      </x:c>
      <x:c r="E117" t="str">
        <x:v>Small Business</x:v>
      </x:c>
      <x:c r="F117" t="str">
        <x:v>South</x:v>
      </x:c>
      <x:c r="G117" t="str">
        <x:v>P011</x:v>
      </x:c>
      <x:c r="H117" t="str">
        <x:v>Data Cleanup Service</x:v>
      </x:c>
      <x:c r="I117" t="str">
        <x:v>Services</x:v>
      </x:c>
      <x:c r="J117" t="n">
        <x:v>2</x:v>
      </x:c>
      <x:c r="K117" s="12" t="n">
        <x:v>320</x:v>
      </x:c>
      <x:c r="L117" s="12" t="n">
        <x:v>140</x:v>
      </x:c>
      <x:c r="M117" s="12" t="n">
        <x:f>J117*K117</x:f>
        <x:v>640</x:v>
      </x:c>
      <x:c r="N117" s="12" t="n">
        <x:f>J117*L117</x:f>
        <x:v>280</x:v>
      </x:c>
      <x:c r="O117" s="12" t="n">
        <x:f>M117-N117</x:f>
        <x:v>360</x:v>
      </x:c>
      <x:c r="P117" s="12" t="n">
        <x:v>17050</x:v>
      </x:c>
    </x:row>
    <x:row r="118">
      <x:c r="A118" t="str">
        <x:v>O0117</x:v>
      </x:c>
      <x:c r="B118" s="10" t="n">
        <x:v>46069</x:v>
      </x:c>
      <x:c r="C118" t="str">
        <x:v>C031</x:v>
      </x:c>
      <x:c r="D118" t="str">
        <x:v>Customer 31</x:v>
      </x:c>
      <x:c r="E118" t="str">
        <x:v>Corporate</x:v>
      </x:c>
      <x:c r="F118" t="str">
        <x:v>East</x:v>
      </x:c>
      <x:c r="G118" t="str">
        <x:v>P002</x:v>
      </x:c>
      <x:c r="H118" t="str">
        <x:v>Wireless Mouse</x:v>
      </x:c>
      <x:c r="I118" t="str">
        <x:v>Accessories</x:v>
      </x:c>
      <x:c r="J118" t="n">
        <x:v>5</x:v>
      </x:c>
      <x:c r="K118" s="12" t="n">
        <x:v>38</x:v>
      </x:c>
      <x:c r="L118" s="12" t="n">
        <x:v>18</x:v>
      </x:c>
      <x:c r="M118" s="12" t="n">
        <x:f>J118*K118</x:f>
        <x:v>190</x:v>
      </x:c>
      <x:c r="N118" s="12" t="n">
        <x:f>J118*L118</x:f>
        <x:v>90</x:v>
      </x:c>
      <x:c r="O118" s="12" t="n">
        <x:f>M118-N118</x:f>
        <x:v>100</x:v>
      </x:c>
      <x:c r="P118" s="12" t="n">
        <x:v>14950</x:v>
      </x:c>
    </x:row>
    <x:row r="119">
      <x:c r="A119" t="str">
        <x:v>O0118</x:v>
      </x:c>
      <x:c r="B119" s="10" t="n">
        <x:v>46270</x:v>
      </x:c>
      <x:c r="C119" t="str">
        <x:v>C032</x:v>
      </x:c>
      <x:c r="D119" t="str">
        <x:v>Customer 32</x:v>
      </x:c>
      <x:c r="E119" t="str">
        <x:v>Community</x:v>
      </x:c>
      <x:c r="F119" t="str">
        <x:v>West</x:v>
      </x:c>
      <x:c r="G119" t="str">
        <x:v>P004</x:v>
      </x:c>
      <x:c r="H119" t="str">
        <x:v>USB-C Hub</x:v>
      </x:c>
      <x:c r="I119" t="str">
        <x:v>Accessories</x:v>
      </x:c>
      <x:c r="J119" t="n">
        <x:v>1</x:v>
      </x:c>
      <x:c r="K119" s="12" t="n">
        <x:v>79</x:v>
      </x:c>
      <x:c r="L119" s="12" t="n">
        <x:v>44</x:v>
      </x:c>
      <x:c r="M119" s="12" t="n">
        <x:f>J119*K119</x:f>
        <x:v>79</x:v>
      </x:c>
      <x:c r="N119" s="12" t="n">
        <x:f>J119*L119</x:f>
        <x:v>44</x:v>
      </x:c>
      <x:c r="O119" s="12" t="n">
        <x:f>M119-N119</x:f>
        <x:v>35</x:v>
      </x:c>
      <x:c r="P119" s="12" t="n">
        <x:v>17600</x:v>
      </x:c>
    </x:row>
    <x:row r="120">
      <x:c r="A120" t="str">
        <x:v>O0119</x:v>
      </x:c>
      <x:c r="B120" s="10" t="n">
        <x:v>46046</x:v>
      </x:c>
      <x:c r="C120" t="str">
        <x:v>C029</x:v>
      </x:c>
      <x:c r="D120" t="str">
        <x:v>Customer 29</x:v>
      </x:c>
      <x:c r="E120" t="str">
        <x:v>Student</x:v>
      </x:c>
      <x:c r="F120" t="str">
        <x:v>North</x:v>
      </x:c>
      <x:c r="G120" t="str">
        <x:v>P005</x:v>
      </x:c>
      <x:c r="H120" t="str">
        <x:v>24-inch Monitor</x:v>
      </x:c>
      <x:c r="I120" t="str">
        <x:v>Hardware</x:v>
      </x:c>
      <x:c r="J120" t="n">
        <x:v>2</x:v>
      </x:c>
      <x:c r="K120" s="12" t="n">
        <x:v>249</x:v>
      </x:c>
      <x:c r="L120" s="12" t="n">
        <x:v>169</x:v>
      </x:c>
      <x:c r="M120" s="12" t="n">
        <x:f>J120*K120</x:f>
        <x:v>498</x:v>
      </x:c>
      <x:c r="N120" s="12" t="n">
        <x:f>J120*L120</x:f>
        <x:v>338</x:v>
      </x:c>
      <x:c r="O120" s="12" t="n">
        <x:f>M120-N120</x:f>
        <x:v>160</x:v>
      </x:c>
      <x:c r="P120" s="12" t="n">
        <x:v>15000</x:v>
      </x:c>
    </x:row>
    <x:row r="121">
      <x:c r="A121" t="str">
        <x:v>O0120</x:v>
      </x:c>
      <x:c r="B121" s="10" t="n">
        <x:v>46245</x:v>
      </x:c>
      <x:c r="C121" t="str">
        <x:v>C004</x:v>
      </x:c>
      <x:c r="D121" t="str">
        <x:v>Customer 04</x:v>
      </x:c>
      <x:c r="E121" t="str">
        <x:v>Community</x:v>
      </x:c>
      <x:c r="F121" t="str">
        <x:v>West</x:v>
      </x:c>
      <x:c r="G121" t="str">
        <x:v>P011</x:v>
      </x:c>
      <x:c r="H121" t="str">
        <x:v>Data Cleanup Service</x:v>
      </x:c>
      <x:c r="I121" t="str">
        <x:v>Services</x:v>
      </x:c>
      <x:c r="J121" t="n">
        <x:v>5</x:v>
      </x:c>
      <x:c r="K121" s="12" t="n">
        <x:v>320</x:v>
      </x:c>
      <x:c r="L121" s="12" t="n">
        <x:v>140</x:v>
      </x:c>
      <x:c r="M121" s="12" t="n">
        <x:f>J121*K121</x:f>
        <x:v>1600</x:v>
      </x:c>
      <x:c r="N121" s="12" t="n">
        <x:f>J121*L121</x:f>
        <x:v>700</x:v>
      </x:c>
      <x:c r="O121" s="12" t="n">
        <x:f>M121-N121</x:f>
        <x:v>900</x:v>
      </x:c>
      <x:c r="P121" s="12" t="n">
        <x:v>17150</x:v>
      </x:c>
    </x:row>
    <x:row r="122">
      <x:c r="A122" t="str">
        <x:v>O0121</x:v>
      </x:c>
      <x:c r="B122" s="10" t="n">
        <x:v>46281</x:v>
      </x:c>
      <x:c r="C122" t="str">
        <x:v>C005</x:v>
      </x:c>
      <x:c r="D122" t="str">
        <x:v>Customer 05</x:v>
      </x:c>
      <x:c r="E122" t="str">
        <x:v>Student</x:v>
      </x:c>
      <x:c r="F122" t="str">
        <x:v>North</x:v>
      </x:c>
      <x:c r="G122" t="str">
        <x:v>P010</x:v>
      </x:c>
      <x:c r="H122" t="str">
        <x:v>Support Package</x:v>
      </x:c>
      <x:c r="I122" t="str">
        <x:v>Services</x:v>
      </x:c>
      <x:c r="J122" t="n">
        <x:v>4</x:v>
      </x:c>
      <x:c r="K122" s="12" t="n">
        <x:v>240</x:v>
      </x:c>
      <x:c r="L122" s="12" t="n">
        <x:v>95</x:v>
      </x:c>
      <x:c r="M122" s="12" t="n">
        <x:f>J122*K122</x:f>
        <x:v>960</x:v>
      </x:c>
      <x:c r="N122" s="12" t="n">
        <x:f>J122*L122</x:f>
        <x:v>380</x:v>
      </x:c>
      <x:c r="O122" s="12" t="n">
        <x:f>M122-N122</x:f>
        <x:v>580</x:v>
      </x:c>
      <x:c r="P122" s="12" t="n">
        <x:v>18600</x:v>
      </x:c>
    </x:row>
    <x:row r="123">
      <x:c r="A123" t="str">
        <x:v>O0122</x:v>
      </x:c>
      <x:c r="B123" s="10" t="n">
        <x:v>46267</x:v>
      </x:c>
      <x:c r="C123" t="str">
        <x:v>C039</x:v>
      </x:c>
      <x:c r="D123" t="str">
        <x:v>Customer 39</x:v>
      </x:c>
      <x:c r="E123" t="str">
        <x:v>Corporate</x:v>
      </x:c>
      <x:c r="F123" t="str">
        <x:v>East</x:v>
      </x:c>
      <x:c r="G123" t="str">
        <x:v>P005</x:v>
      </x:c>
      <x:c r="H123" t="str">
        <x:v>24-inch Monitor</x:v>
      </x:c>
      <x:c r="I123" t="str">
        <x:v>Hardware</x:v>
      </x:c>
      <x:c r="J123" t="n">
        <x:v>3</x:v>
      </x:c>
      <x:c r="K123" s="12" t="n">
        <x:v>249</x:v>
      </x:c>
      <x:c r="L123" s="12" t="n">
        <x:v>169</x:v>
      </x:c>
      <x:c r="M123" s="12" t="n">
        <x:f>J123*K123</x:f>
        <x:v>747</x:v>
      </x:c>
      <x:c r="N123" s="12" t="n">
        <x:f>J123*L123</x:f>
        <x:v>507</x:v>
      </x:c>
      <x:c r="O123" s="12" t="n">
        <x:f>M123-N123</x:f>
        <x:v>240</x:v>
      </x:c>
      <x:c r="P123" s="12" t="n">
        <x:v>18100</x:v>
      </x:c>
    </x:row>
    <x:row r="124">
      <x:c r="A124" t="str">
        <x:v>O0123</x:v>
      </x:c>
      <x:c r="B124" s="10" t="n">
        <x:v>46067</x:v>
      </x:c>
      <x:c r="C124" t="str">
        <x:v>C033</x:v>
      </x:c>
      <x:c r="D124" t="str">
        <x:v>Customer 33</x:v>
      </x:c>
      <x:c r="E124" t="str">
        <x:v>Student</x:v>
      </x:c>
      <x:c r="F124" t="str">
        <x:v>North</x:v>
      </x:c>
      <x:c r="G124" t="str">
        <x:v>P009</x:v>
      </x:c>
      <x:c r="H124" t="str">
        <x:v>Cloud Starter Plan</x:v>
      </x:c>
      <x:c r="I124" t="str">
        <x:v>Services</x:v>
      </x:c>
      <x:c r="J124" t="n">
        <x:v>1</x:v>
      </x:c>
      <x:c r="K124" s="12" t="n">
        <x:v>180</x:v>
      </x:c>
      <x:c r="L124" s="12" t="n">
        <x:v>65</x:v>
      </x:c>
      <x:c r="M124" s="12" t="n">
        <x:f>J124*K124</x:f>
        <x:v>180</x:v>
      </x:c>
      <x:c r="N124" s="12" t="n">
        <x:f>J124*L124</x:f>
        <x:v>65</x:v>
      </x:c>
      <x:c r="O124" s="12" t="n">
        <x:f>M124-N124</x:f>
        <x:v>115</x:v>
      </x:c>
      <x:c r="P124" s="12" t="n">
        <x:v>15450</x:v>
      </x:c>
    </x:row>
    <x:row r="125">
      <x:c r="A125" t="str">
        <x:v>O0124</x:v>
      </x:c>
      <x:c r="B125" s="10" t="n">
        <x:v>46242</x:v>
      </x:c>
      <x:c r="C125" t="str">
        <x:v>C010</x:v>
      </x:c>
      <x:c r="D125" t="str">
        <x:v>Customer 10</x:v>
      </x:c>
      <x:c r="E125" t="str">
        <x:v>Small Business</x:v>
      </x:c>
      <x:c r="F125" t="str">
        <x:v>South</x:v>
      </x:c>
      <x:c r="G125" t="str">
        <x:v>P007</x:v>
      </x:c>
      <x:c r="H125" t="str">
        <x:v>Webcam</x:v>
      </x:c>
      <x:c r="I125" t="str">
        <x:v>Hardware</x:v>
      </x:c>
      <x:c r="J125" t="n">
        <x:v>1</x:v>
      </x:c>
      <x:c r="K125" s="12" t="n">
        <x:v>109</x:v>
      </x:c>
      <x:c r="L125" s="12" t="n">
        <x:v>61</x:v>
      </x:c>
      <x:c r="M125" s="12" t="n">
        <x:f>J125*K125</x:f>
        <x:v>109</x:v>
      </x:c>
      <x:c r="N125" s="12" t="n">
        <x:f>J125*L125</x:f>
        <x:v>61</x:v>
      </x:c>
      <x:c r="O125" s="12" t="n">
        <x:f>M125-N125</x:f>
        <x:v>48</x:v>
      </x:c>
      <x:c r="P125" s="12" t="n">
        <x:v>16150</x:v>
      </x:c>
    </x:row>
    <x:row r="126">
      <x:c r="A126" t="str">
        <x:v>O0125</x:v>
      </x:c>
      <x:c r="B126" s="10" t="n">
        <x:v>46250</x:v>
      </x:c>
      <x:c r="C126" t="str">
        <x:v>C024</x:v>
      </x:c>
      <x:c r="D126" t="str">
        <x:v>Customer 24</x:v>
      </x:c>
      <x:c r="E126" t="str">
        <x:v>Community</x:v>
      </x:c>
      <x:c r="F126" t="str">
        <x:v>West</x:v>
      </x:c>
      <x:c r="G126" t="str">
        <x:v>P003</x:v>
      </x:c>
      <x:c r="H126" t="str">
        <x:v>Keyboard</x:v>
      </x:c>
      <x:c r="I126" t="str">
        <x:v>Accessories</x:v>
      </x:c>
      <x:c r="J126" t="n">
        <x:v>5</x:v>
      </x:c>
      <x:c r="K126" s="12" t="n">
        <x:v>62</x:v>
      </x:c>
      <x:c r="L126" s="12" t="n">
        <x:v>33</x:v>
      </x:c>
      <x:c r="M126" s="12" t="n">
        <x:f>J126*K126</x:f>
        <x:v>310</x:v>
      </x:c>
      <x:c r="N126" s="12" t="n">
        <x:f>J126*L126</x:f>
        <x:v>165</x:v>
      </x:c>
      <x:c r="O126" s="12" t="n">
        <x:f>M126-N126</x:f>
        <x:v>145</x:v>
      </x:c>
      <x:c r="P126" s="12" t="n">
        <x:v>17150</x:v>
      </x:c>
    </x:row>
    <x:row r="127">
      <x:c r="A127" t="str">
        <x:v>O0126</x:v>
      </x:c>
      <x:c r="B127" s="10" t="n">
        <x:v>46224</x:v>
      </x:c>
      <x:c r="C127" t="str">
        <x:v>C030</x:v>
      </x:c>
      <x:c r="D127" t="str">
        <x:v>Customer 30</x:v>
      </x:c>
      <x:c r="E127" t="str">
        <x:v>Small Business</x:v>
      </x:c>
      <x:c r="F127" t="str">
        <x:v>South</x:v>
      </x:c>
      <x:c r="G127" t="str">
        <x:v>P006</x:v>
      </x:c>
      <x:c r="H127" t="str">
        <x:v>27-inch Monitor</x:v>
      </x:c>
      <x:c r="I127" t="str">
        <x:v>Hardware</x:v>
      </x:c>
      <x:c r="J127" t="n">
        <x:v>2</x:v>
      </x:c>
      <x:c r="K127" s="12" t="n">
        <x:v>349</x:v>
      </x:c>
      <x:c r="L127" s="12" t="n">
        <x:v>235</x:v>
      </x:c>
      <x:c r="M127" s="12" t="n">
        <x:f>J127*K127</x:f>
        <x:v>698</x:v>
      </x:c>
      <x:c r="N127" s="12" t="n">
        <x:f>J127*L127</x:f>
        <x:v>470</x:v>
      </x:c>
      <x:c r="O127" s="12" t="n">
        <x:f>M127-N127</x:f>
        <x:v>228</x:v>
      </x:c>
      <x:c r="P127" s="12" t="n">
        <x:v>15700</x:v>
      </x:c>
    </x:row>
    <x:row r="128">
      <x:c r="A128" t="str">
        <x:v>O0127</x:v>
      </x:c>
      <x:c r="B128" s="10" t="n">
        <x:v>46095</x:v>
      </x:c>
      <x:c r="C128" t="str">
        <x:v>C012</x:v>
      </x:c>
      <x:c r="D128" t="str">
        <x:v>Customer 12</x:v>
      </x:c>
      <x:c r="E128" t="str">
        <x:v>Community</x:v>
      </x:c>
      <x:c r="F128" t="str">
        <x:v>West</x:v>
      </x:c>
      <x:c r="G128" t="str">
        <x:v>P003</x:v>
      </x:c>
      <x:c r="H128" t="str">
        <x:v>Keyboard</x:v>
      </x:c>
      <x:c r="I128" t="str">
        <x:v>Accessories</x:v>
      </x:c>
      <x:c r="J128" t="n">
        <x:v>1</x:v>
      </x:c>
      <x:c r="K128" s="12" t="n">
        <x:v>62</x:v>
      </x:c>
      <x:c r="L128" s="12" t="n">
        <x:v>33</x:v>
      </x:c>
      <x:c r="M128" s="12" t="n">
        <x:f>J128*K128</x:f>
        <x:v>62</x:v>
      </x:c>
      <x:c r="N128" s="12" t="n">
        <x:f>J128*L128</x:f>
        <x:v>33</x:v>
      </x:c>
      <x:c r="O128" s="12" t="n">
        <x:f>M128-N128</x:f>
        <x:v>29</x:v>
      </x:c>
      <x:c r="P128" s="12" t="n">
        <x:v>14900</x:v>
      </x:c>
    </x:row>
    <x:row r="129">
      <x:c r="A129" t="str">
        <x:v>O0128</x:v>
      </x:c>
      <x:c r="B129" s="10" t="n">
        <x:v>46122</x:v>
      </x:c>
      <x:c r="C129" t="str">
        <x:v>C017</x:v>
      </x:c>
      <x:c r="D129" t="str">
        <x:v>Customer 17</x:v>
      </x:c>
      <x:c r="E129" t="str">
        <x:v>Student</x:v>
      </x:c>
      <x:c r="F129" t="str">
        <x:v>North</x:v>
      </x:c>
      <x:c r="G129" t="str">
        <x:v>P009</x:v>
      </x:c>
      <x:c r="H129" t="str">
        <x:v>Cloud Starter Plan</x:v>
      </x:c>
      <x:c r="I129" t="str">
        <x:v>Services</x:v>
      </x:c>
      <x:c r="J129" t="n">
        <x:v>3</x:v>
      </x:c>
      <x:c r="K129" s="12" t="n">
        <x:v>180</x:v>
      </x:c>
      <x:c r="L129" s="12" t="n">
        <x:v>65</x:v>
      </x:c>
      <x:c r="M129" s="12" t="n">
        <x:f>J129*K129</x:f>
        <x:v>540</x:v>
      </x:c>
      <x:c r="N129" s="12" t="n">
        <x:f>J129*L129</x:f>
        <x:v>195</x:v>
      </x:c>
      <x:c r="O129" s="12" t="n">
        <x:f>M129-N129</x:f>
        <x:v>345</x:v>
      </x:c>
      <x:c r="P129" s="12" t="n">
        <x:v>16350</x:v>
      </x:c>
    </x:row>
    <x:row r="130">
      <x:c r="A130" t="str">
        <x:v>O0129</x:v>
      </x:c>
      <x:c r="B130" s="10" t="n">
        <x:v>46037</x:v>
      </x:c>
      <x:c r="C130" t="str">
        <x:v>C019</x:v>
      </x:c>
      <x:c r="D130" t="str">
        <x:v>Customer 19</x:v>
      </x:c>
      <x:c r="E130" t="str">
        <x:v>Corporate</x:v>
      </x:c>
      <x:c r="F130" t="str">
        <x:v>East</x:v>
      </x:c>
      <x:c r="G130" t="str">
        <x:v>P007</x:v>
      </x:c>
      <x:c r="H130" t="str">
        <x:v>Webcam</x:v>
      </x:c>
      <x:c r="I130" t="str">
        <x:v>Hardware</x:v>
      </x:c>
      <x:c r="J130" t="n">
        <x:v>2</x:v>
      </x:c>
      <x:c r="K130" s="12" t="n">
        <x:v>109</x:v>
      </x:c>
      <x:c r="L130" s="12" t="n">
        <x:v>61</x:v>
      </x:c>
      <x:c r="M130" s="12" t="n">
        <x:f>J130*K130</x:f>
        <x:v>218</x:v>
      </x:c>
      <x:c r="N130" s="12" t="n">
        <x:f>J130*L130</x:f>
        <x:v>122</x:v>
      </x:c>
      <x:c r="O130" s="12" t="n">
        <x:f>M130-N130</x:f>
        <x:v>96</x:v>
      </x:c>
      <x:c r="P130" s="12" t="n">
        <x:v>14500</x:v>
      </x:c>
    </x:row>
    <x:row r="131">
      <x:c r="A131" t="str">
        <x:v>O0130</x:v>
      </x:c>
      <x:c r="B131" s="10" t="n">
        <x:v>46375</x:v>
      </x:c>
      <x:c r="C131" t="str">
        <x:v>C010</x:v>
      </x:c>
      <x:c r="D131" t="str">
        <x:v>Customer 10</x:v>
      </x:c>
      <x:c r="E131" t="str">
        <x:v>Small Business</x:v>
      </x:c>
      <x:c r="F131" t="str">
        <x:v>South</x:v>
      </x:c>
      <x:c r="G131" t="str">
        <x:v>P010</x:v>
      </x:c>
      <x:c r="H131" t="str">
        <x:v>Support Package</x:v>
      </x:c>
      <x:c r="I131" t="str">
        <x:v>Services</x:v>
      </x:c>
      <x:c r="J131" t="n">
        <x:v>4</x:v>
      </x:c>
      <x:c r="K131" s="12" t="n">
        <x:v>240</x:v>
      </x:c>
      <x:c r="L131" s="12" t="n">
        <x:v>95</x:v>
      </x:c>
      <x:c r="M131" s="12" t="n">
        <x:f>J131*K131</x:f>
        <x:v>960</x:v>
      </x:c>
      <x:c r="N131" s="12" t="n">
        <x:f>J131*L131</x:f>
        <x:v>380</x:v>
      </x:c>
      <x:c r="O131" s="12" t="n">
        <x:f>M131-N131</x:f>
        <x:v>580</x:v>
      </x:c>
      <x:c r="P131" s="12" t="n">
        <x:v>17950</x:v>
      </x:c>
    </x:row>
    <x:row r="132">
      <x:c r="A132" t="str">
        <x:v>O0131</x:v>
      </x:c>
      <x:c r="B132" s="10" t="n">
        <x:v>46062</x:v>
      </x:c>
      <x:c r="C132" t="str">
        <x:v>C011</x:v>
      </x:c>
      <x:c r="D132" t="str">
        <x:v>Customer 11</x:v>
      </x:c>
      <x:c r="E132" t="str">
        <x:v>Corporate</x:v>
      </x:c>
      <x:c r="F132" t="str">
        <x:v>East</x:v>
      </x:c>
      <x:c r="G132" t="str">
        <x:v>P009</x:v>
      </x:c>
      <x:c r="H132" t="str">
        <x:v>Cloud Starter Plan</x:v>
      </x:c>
      <x:c r="I132" t="str">
        <x:v>Services</x:v>
      </x:c>
      <x:c r="J132" t="n">
        <x:v>5</x:v>
      </x:c>
      <x:c r="K132" s="12" t="n">
        <x:v>180</x:v>
      </x:c>
      <x:c r="L132" s="12" t="n">
        <x:v>65</x:v>
      </x:c>
      <x:c r="M132" s="12" t="n">
        <x:f>J132*K132</x:f>
        <x:v>900</x:v>
      </x:c>
      <x:c r="N132" s="12" t="n">
        <x:f>J132*L132</x:f>
        <x:v>325</x:v>
      </x:c>
      <x:c r="O132" s="12" t="n">
        <x:f>M132-N132</x:f>
        <x:v>575</x:v>
      </x:c>
      <x:c r="P132" s="12" t="n">
        <x:v>14950</x:v>
      </x:c>
    </x:row>
    <x:row r="133">
      <x:c r="A133" t="str">
        <x:v>O0132</x:v>
      </x:c>
      <x:c r="B133" s="10" t="n">
        <x:v>46078</x:v>
      </x:c>
      <x:c r="C133" t="str">
        <x:v>C019</x:v>
      </x:c>
      <x:c r="D133" t="str">
        <x:v>Customer 19</x:v>
      </x:c>
      <x:c r="E133" t="str">
        <x:v>Corporate</x:v>
      </x:c>
      <x:c r="F133" t="str">
        <x:v>East</x:v>
      </x:c>
      <x:c r="G133" t="str">
        <x:v>P002</x:v>
      </x:c>
      <x:c r="H133" t="str">
        <x:v>Wireless Mouse</x:v>
      </x:c>
      <x:c r="I133" t="str">
        <x:v>Accessories</x:v>
      </x:c>
      <x:c r="J133" t="n">
        <x:v>5</x:v>
      </x:c>
      <x:c r="K133" s="12" t="n">
        <x:v>38</x:v>
      </x:c>
      <x:c r="L133" s="12" t="n">
        <x:v>18</x:v>
      </x:c>
      <x:c r="M133" s="12" t="n">
        <x:f>J133*K133</x:f>
        <x:v>190</x:v>
      </x:c>
      <x:c r="N133" s="12" t="n">
        <x:f>J133*L133</x:f>
        <x:v>90</x:v>
      </x:c>
      <x:c r="O133" s="12" t="n">
        <x:f>M133-N133</x:f>
        <x:v>100</x:v>
      </x:c>
      <x:c r="P133" s="12" t="n">
        <x:v>14950</x:v>
      </x:c>
    </x:row>
    <x:row r="134">
      <x:c r="A134" t="str">
        <x:v>O0133</x:v>
      </x:c>
      <x:c r="B134" s="10" t="n">
        <x:v>46187</x:v>
      </x:c>
      <x:c r="C134" t="str">
        <x:v>C029</x:v>
      </x:c>
      <x:c r="D134" t="str">
        <x:v>Customer 29</x:v>
      </x:c>
      <x:c r="E134" t="str">
        <x:v>Student</x:v>
      </x:c>
      <x:c r="F134" t="str">
        <x:v>North</x:v>
      </x:c>
      <x:c r="G134" t="str">
        <x:v>P011</x:v>
      </x:c>
      <x:c r="H134" t="str">
        <x:v>Data Cleanup Service</x:v>
      </x:c>
      <x:c r="I134" t="str">
        <x:v>Services</x:v>
      </x:c>
      <x:c r="J134" t="n">
        <x:v>4</x:v>
      </x:c>
      <x:c r="K134" s="12" t="n">
        <x:v>320</x:v>
      </x:c>
      <x:c r="L134" s="12" t="n">
        <x:v>140</x:v>
      </x:c>
      <x:c r="M134" s="12" t="n">
        <x:f>J134*K134</x:f>
        <x:v>1280</x:v>
      </x:c>
      <x:c r="N134" s="12" t="n">
        <x:f>J134*L134</x:f>
        <x:v>560</x:v>
      </x:c>
      <x:c r="O134" s="12" t="n">
        <x:f>M134-N134</x:f>
        <x:v>720</x:v>
      </x:c>
      <x:c r="P134" s="12" t="n">
        <x:v>17250</x:v>
      </x:c>
    </x:row>
    <x:row r="135">
      <x:c r="A135" t="str">
        <x:v>O0134</x:v>
      </x:c>
      <x:c r="B135" s="10" t="n">
        <x:v>46198</x:v>
      </x:c>
      <x:c r="C135" t="str">
        <x:v>C019</x:v>
      </x:c>
      <x:c r="D135" t="str">
        <x:v>Customer 19</x:v>
      </x:c>
      <x:c r="E135" t="str">
        <x:v>Corporate</x:v>
      </x:c>
      <x:c r="F135" t="str">
        <x:v>East</x:v>
      </x:c>
      <x:c r="G135" t="str">
        <x:v>P001</x:v>
      </x:c>
      <x:c r="H135" t="str">
        <x:v>Laptop Stand</x:v>
      </x:c>
      <x:c r="I135" t="str">
        <x:v>Accessories</x:v>
      </x:c>
      <x:c r="J135" t="n">
        <x:v>2</x:v>
      </x:c>
      <x:c r="K135" s="12" t="n">
        <x:v>45</x:v>
      </x:c>
      <x:c r="L135" s="12" t="n">
        <x:v>23</x:v>
      </x:c>
      <x:c r="M135" s="12" t="n">
        <x:f>J135*K135</x:f>
        <x:v>90</x:v>
      </x:c>
      <x:c r="N135" s="12" t="n">
        <x:f>J135*L135</x:f>
        <x:v>46</x:v>
      </x:c>
      <x:c r="O135" s="12" t="n">
        <x:f>M135-N135</x:f>
        <x:v>44</x:v>
      </x:c>
      <x:c r="P135" s="12" t="n">
        <x:v>16750</x:v>
      </x:c>
    </x:row>
    <x:row r="136">
      <x:c r="A136" t="str">
        <x:v>O0135</x:v>
      </x:c>
      <x:c r="B136" s="10" t="n">
        <x:v>46239</x:v>
      </x:c>
      <x:c r="C136" t="str">
        <x:v>C029</x:v>
      </x:c>
      <x:c r="D136" t="str">
        <x:v>Customer 29</x:v>
      </x:c>
      <x:c r="E136" t="str">
        <x:v>Student</x:v>
      </x:c>
      <x:c r="F136" t="str">
        <x:v>North</x:v>
      </x:c>
      <x:c r="G136" t="str">
        <x:v>P002</x:v>
      </x:c>
      <x:c r="H136" t="str">
        <x:v>Wireless Mouse</x:v>
      </x:c>
      <x:c r="I136" t="str">
        <x:v>Accessories</x:v>
      </x:c>
      <x:c r="J136" t="n">
        <x:v>5</x:v>
      </x:c>
      <x:c r="K136" s="12" t="n">
        <x:v>38</x:v>
      </x:c>
      <x:c r="L136" s="12" t="n">
        <x:v>18</x:v>
      </x:c>
      <x:c r="M136" s="12" t="n">
        <x:f>J136*K136</x:f>
        <x:v>190</x:v>
      </x:c>
      <x:c r="N136" s="12" t="n">
        <x:f>J136*L136</x:f>
        <x:v>90</x:v>
      </x:c>
      <x:c r="O136" s="12" t="n">
        <x:f>M136-N136</x:f>
        <x:v>100</x:v>
      </x:c>
      <x:c r="P136" s="12" t="n">
        <x:v>18150</x:v>
      </x:c>
    </x:row>
    <x:row r="137">
      <x:c r="A137" t="str">
        <x:v>O0136</x:v>
      </x:c>
      <x:c r="B137" s="10" t="n">
        <x:v>46158</x:v>
      </x:c>
      <x:c r="C137" t="str">
        <x:v>C015</x:v>
      </x:c>
      <x:c r="D137" t="str">
        <x:v>Customer 15</x:v>
      </x:c>
      <x:c r="E137" t="str">
        <x:v>Corporate</x:v>
      </x:c>
      <x:c r="F137" t="str">
        <x:v>East</x:v>
      </x:c>
      <x:c r="G137" t="str">
        <x:v>P006</x:v>
      </x:c>
      <x:c r="H137" t="str">
        <x:v>27-inch Monitor</x:v>
      </x:c>
      <x:c r="I137" t="str">
        <x:v>Hardware</x:v>
      </x:c>
      <x:c r="J137" t="n">
        <x:v>3</x:v>
      </x:c>
      <x:c r="K137" s="12" t="n">
        <x:v>349</x:v>
      </x:c>
      <x:c r="L137" s="12" t="n">
        <x:v>235</x:v>
      </x:c>
      <x:c r="M137" s="12" t="n">
        <x:f>J137*K137</x:f>
        <x:v>1047</x:v>
      </x:c>
      <x:c r="N137" s="12" t="n">
        <x:f>J137*L137</x:f>
        <x:v>705</x:v>
      </x:c>
      <x:c r="O137" s="12" t="n">
        <x:f>M137-N137</x:f>
        <x:v>342</x:v>
      </x:c>
      <x:c r="P137" s="12" t="n">
        <x:v>16300</x:v>
      </x:c>
    </x:row>
    <x:row r="138">
      <x:c r="A138" t="str">
        <x:v>O0137</x:v>
      </x:c>
      <x:c r="B138" s="10" t="n">
        <x:v>46277</x:v>
      </x:c>
      <x:c r="C138" t="str">
        <x:v>C013</x:v>
      </x:c>
      <x:c r="D138" t="str">
        <x:v>Customer 13</x:v>
      </x:c>
      <x:c r="E138" t="str">
        <x:v>Student</x:v>
      </x:c>
      <x:c r="F138" t="str">
        <x:v>North</x:v>
      </x:c>
      <x:c r="G138" t="str">
        <x:v>P009</x:v>
      </x:c>
      <x:c r="H138" t="str">
        <x:v>Cloud Starter Plan</x:v>
      </x:c>
      <x:c r="I138" t="str">
        <x:v>Services</x:v>
      </x:c>
      <x:c r="J138" t="n">
        <x:v>2</x:v>
      </x:c>
      <x:c r="K138" s="12" t="n">
        <x:v>180</x:v>
      </x:c>
      <x:c r="L138" s="12" t="n">
        <x:v>65</x:v>
      </x:c>
      <x:c r="M138" s="12" t="n">
        <x:f>J138*K138</x:f>
        <x:v>360</x:v>
      </x:c>
      <x:c r="N138" s="12" t="n">
        <x:f>J138*L138</x:f>
        <x:v>130</x:v>
      </x:c>
      <x:c r="O138" s="12" t="n">
        <x:f>M138-N138</x:f>
        <x:v>230</x:v>
      </x:c>
      <x:c r="P138" s="12" t="n">
        <x:v>18600</x:v>
      </x:c>
    </x:row>
    <x:row r="139">
      <x:c r="A139" t="str">
        <x:v>O0138</x:v>
      </x:c>
      <x:c r="B139" s="10" t="n">
        <x:v>46025</x:v>
      </x:c>
      <x:c r="C139" t="str">
        <x:v>C012</x:v>
      </x:c>
      <x:c r="D139" t="str">
        <x:v>Customer 12</x:v>
      </x:c>
      <x:c r="E139" t="str">
        <x:v>Community</x:v>
      </x:c>
      <x:c r="F139" t="str">
        <x:v>West</x:v>
      </x:c>
      <x:c r="G139" t="str">
        <x:v>P008</x:v>
      </x:c>
      <x:c r="H139" t="str">
        <x:v>Headset</x:v>
      </x:c>
      <x:c r="I139" t="str">
        <x:v>Hardware</x:v>
      </x:c>
      <x:c r="J139" t="n">
        <x:v>4</x:v>
      </x:c>
      <x:c r="K139" s="12" t="n">
        <x:v>129</x:v>
      </x:c>
      <x:c r="L139" s="12" t="n">
        <x:v>72</x:v>
      </x:c>
      <x:c r="M139" s="12" t="n">
        <x:f>J139*K139</x:f>
        <x:v>516</x:v>
      </x:c>
      <x:c r="N139" s="12" t="n">
        <x:f>J139*L139</x:f>
        <x:v>288</x:v>
      </x:c>
      <x:c r="O139" s="12" t="n">
        <x:f>M139-N139</x:f>
        <x:v>228</x:v>
      </x:c>
      <x:c r="P139" s="12" t="n">
        <x:v>14000</x:v>
      </x:c>
    </x:row>
    <x:row r="140">
      <x:c r="A140" t="str">
        <x:v>O0139</x:v>
      </x:c>
      <x:c r="B140" s="10" t="n">
        <x:v>46202</x:v>
      </x:c>
      <x:c r="C140" t="str">
        <x:v>C036</x:v>
      </x:c>
      <x:c r="D140" t="str">
        <x:v>Customer 36</x:v>
      </x:c>
      <x:c r="E140" t="str">
        <x:v>Community</x:v>
      </x:c>
      <x:c r="F140" t="str">
        <x:v>West</x:v>
      </x:c>
      <x:c r="G140" t="str">
        <x:v>P003</x:v>
      </x:c>
      <x:c r="H140" t="str">
        <x:v>Keyboard</x:v>
      </x:c>
      <x:c r="I140" t="str">
        <x:v>Accessories</x:v>
      </x:c>
      <x:c r="J140" t="n">
        <x:v>4</x:v>
      </x:c>
      <x:c r="K140" s="12" t="n">
        <x:v>62</x:v>
      </x:c>
      <x:c r="L140" s="12" t="n">
        <x:v>33</x:v>
      </x:c>
      <x:c r="M140" s="12" t="n">
        <x:f>J140*K140</x:f>
        <x:v>248</x:v>
      </x:c>
      <x:c r="N140" s="12" t="n">
        <x:f>J140*L140</x:f>
        <x:v>132</x:v>
      </x:c>
      <x:c r="O140" s="12" t="n">
        <x:f>M140-N140</x:f>
        <x:v>116</x:v>
      </x:c>
      <x:c r="P140" s="12" t="n">
        <x:v>16250</x:v>
      </x:c>
    </x:row>
    <x:row r="141">
      <x:c r="A141" t="str">
        <x:v>O0140</x:v>
      </x:c>
      <x:c r="B141" s="10" t="n">
        <x:v>46340</x:v>
      </x:c>
      <x:c r="C141" t="str">
        <x:v>C006</x:v>
      </x:c>
      <x:c r="D141" t="str">
        <x:v>Customer 06</x:v>
      </x:c>
      <x:c r="E141" t="str">
        <x:v>Small Business</x:v>
      </x:c>
      <x:c r="F141" t="str">
        <x:v>South</x:v>
      </x:c>
      <x:c r="G141" t="str">
        <x:v>P005</x:v>
      </x:c>
      <x:c r="H141" t="str">
        <x:v>24-inch Monitor</x:v>
      </x:c>
      <x:c r="I141" t="str">
        <x:v>Hardware</x:v>
      </x:c>
      <x:c r="J141" t="n">
        <x:v>1</x:v>
      </x:c>
      <x:c r="K141" s="12" t="n">
        <x:v>249</x:v>
      </x:c>
      <x:c r="L141" s="12" t="n">
        <x:v>169</x:v>
      </x:c>
      <x:c r="M141" s="12" t="n">
        <x:f>J141*K141</x:f>
        <x:v>249</x:v>
      </x:c>
      <x:c r="N141" s="12" t="n">
        <x:f>J141*L141</x:f>
        <x:v>169</x:v>
      </x:c>
      <x:c r="O141" s="12" t="n">
        <x:f>M141-N141</x:f>
        <x:v>80</x:v>
      </x:c>
      <x:c r="P141" s="12" t="n">
        <x:v>17500</x:v>
      </x:c>
    </x:row>
    <x:row r="142">
      <x:c r="A142" t="str">
        <x:v>O0141</x:v>
      </x:c>
      <x:c r="B142" s="10" t="n">
        <x:v>46096</x:v>
      </x:c>
      <x:c r="C142" t="str">
        <x:v>C012</x:v>
      </x:c>
      <x:c r="D142" t="str">
        <x:v>Customer 12</x:v>
      </x:c>
      <x:c r="E142" t="str">
        <x:v>Community</x:v>
      </x:c>
      <x:c r="F142" t="str">
        <x:v>West</x:v>
      </x:c>
      <x:c r="G142" t="str">
        <x:v>P005</x:v>
      </x:c>
      <x:c r="H142" t="str">
        <x:v>24-inch Monitor</x:v>
      </x:c>
      <x:c r="I142" t="str">
        <x:v>Hardware</x:v>
      </x:c>
      <x:c r="J142" t="n">
        <x:v>2</x:v>
      </x:c>
      <x:c r="K142" s="12" t="n">
        <x:v>249</x:v>
      </x:c>
      <x:c r="L142" s="12" t="n">
        <x:v>169</x:v>
      </x:c>
      <x:c r="M142" s="12" t="n">
        <x:f>J142*K142</x:f>
        <x:v>498</x:v>
      </x:c>
      <x:c r="N142" s="12" t="n">
        <x:f>J142*L142</x:f>
        <x:v>338</x:v>
      </x:c>
      <x:c r="O142" s="12" t="n">
        <x:f>M142-N142</x:f>
        <x:v>160</x:v>
      </x:c>
      <x:c r="P142" s="12" t="n">
        <x:v>14900</x:v>
      </x:c>
    </x:row>
    <x:row r="143">
      <x:c r="A143" t="str">
        <x:v>O0142</x:v>
      </x:c>
      <x:c r="B143" s="10" t="n">
        <x:v>46261</x:v>
      </x:c>
      <x:c r="C143" t="str">
        <x:v>C012</x:v>
      </x:c>
      <x:c r="D143" t="str">
        <x:v>Customer 12</x:v>
      </x:c>
      <x:c r="E143" t="str">
        <x:v>Community</x:v>
      </x:c>
      <x:c r="F143" t="str">
        <x:v>West</x:v>
      </x:c>
      <x:c r="G143" t="str">
        <x:v>P012</x:v>
      </x:c>
      <x:c r="H143" t="str">
        <x:v>Dashboard Setup</x:v>
      </x:c>
      <x:c r="I143" t="str">
        <x:v>Services</x:v>
      </x:c>
      <x:c r="J143" t="n">
        <x:v>2</x:v>
      </x:c>
      <x:c r="K143" s="12" t="n">
        <x:v>450</x:v>
      </x:c>
      <x:c r="L143" s="12" t="n">
        <x:v>205</x:v>
      </x:c>
      <x:c r="M143" s="12" t="n">
        <x:f>J143*K143</x:f>
        <x:v>900</x:v>
      </x:c>
      <x:c r="N143" s="12" t="n">
        <x:f>J143*L143</x:f>
        <x:v>410</x:v>
      </x:c>
      <x:c r="O143" s="12" t="n">
        <x:f>M143-N143</x:f>
        <x:v>490</x:v>
      </x:c>
      <x:c r="P143" s="12" t="n">
        <x:v>17150</x:v>
      </x:c>
    </x:row>
    <x:row r="144">
      <x:c r="A144" t="str">
        <x:v>O0143</x:v>
      </x:c>
      <x:c r="B144" s="10" t="n">
        <x:v>46335</x:v>
      </x:c>
      <x:c r="C144" t="str">
        <x:v>C016</x:v>
      </x:c>
      <x:c r="D144" t="str">
        <x:v>Customer 16</x:v>
      </x:c>
      <x:c r="E144" t="str">
        <x:v>Community</x:v>
      </x:c>
      <x:c r="F144" t="str">
        <x:v>West</x:v>
      </x:c>
      <x:c r="G144" t="str">
        <x:v>P012</x:v>
      </x:c>
      <x:c r="H144" t="str">
        <x:v>Dashboard Setup</x:v>
      </x:c>
      <x:c r="I144" t="str">
        <x:v>Services</x:v>
      </x:c>
      <x:c r="J144" t="n">
        <x:v>2</x:v>
      </x:c>
      <x:c r="K144" s="12" t="n">
        <x:v>450</x:v>
      </x:c>
      <x:c r="L144" s="12" t="n">
        <x:v>205</x:v>
      </x:c>
      <x:c r="M144" s="12" t="n">
        <x:f>J144*K144</x:f>
        <x:v>900</x:v>
      </x:c>
      <x:c r="N144" s="12" t="n">
        <x:f>J144*L144</x:f>
        <x:v>410</x:v>
      </x:c>
      <x:c r="O144" s="12" t="n">
        <x:f>M144-N144</x:f>
        <x:v>490</x:v>
      </x:c>
      <x:c r="P144" s="12" t="n">
        <x:v>18500</x:v>
      </x:c>
    </x:row>
    <x:row r="145">
      <x:c r="A145" t="str">
        <x:v>O0144</x:v>
      </x:c>
      <x:c r="B145" s="10" t="n">
        <x:v>46082</x:v>
      </x:c>
      <x:c r="C145" t="str">
        <x:v>C002</x:v>
      </x:c>
      <x:c r="D145" t="str">
        <x:v>Customer 02</x:v>
      </x:c>
      <x:c r="E145" t="str">
        <x:v>Small Business</x:v>
      </x:c>
      <x:c r="F145" t="str">
        <x:v>South</x:v>
      </x:c>
      <x:c r="G145" t="str">
        <x:v>P008</x:v>
      </x:c>
      <x:c r="H145" t="str">
        <x:v>Headset</x:v>
      </x:c>
      <x:c r="I145" t="str">
        <x:v>Hardware</x:v>
      </x:c>
      <x:c r="J145" t="n">
        <x:v>4</x:v>
      </x:c>
      <x:c r="K145" s="12" t="n">
        <x:v>129</x:v>
      </x:c>
      <x:c r="L145" s="12" t="n">
        <x:v>72</x:v>
      </x:c>
      <x:c r="M145" s="12" t="n">
        <x:f>J145*K145</x:f>
        <x:v>516</x:v>
      </x:c>
      <x:c r="N145" s="12" t="n">
        <x:f>J145*L145</x:f>
        <x:v>288</x:v>
      </x:c>
      <x:c r="O145" s="12" t="n">
        <x:f>M145-N145</x:f>
        <x:v>228</x:v>
      </x:c>
      <x:c r="P145" s="12" t="n">
        <x:v>13900</x:v>
      </x:c>
    </x:row>
    <x:row r="146">
      <x:c r="A146" t="str">
        <x:v>O0145</x:v>
      </x:c>
      <x:c r="B146" s="10" t="n">
        <x:v>46138</x:v>
      </x:c>
      <x:c r="C146" t="str">
        <x:v>C019</x:v>
      </x:c>
      <x:c r="D146" t="str">
        <x:v>Customer 19</x:v>
      </x:c>
      <x:c r="E146" t="str">
        <x:v>Corporate</x:v>
      </x:c>
      <x:c r="F146" t="str">
        <x:v>East</x:v>
      </x:c>
      <x:c r="G146" t="str">
        <x:v>P009</x:v>
      </x:c>
      <x:c r="H146" t="str">
        <x:v>Cloud Starter Plan</x:v>
      </x:c>
      <x:c r="I146" t="str">
        <x:v>Services</x:v>
      </x:c>
      <x:c r="J146" t="n">
        <x:v>2</x:v>
      </x:c>
      <x:c r="K146" s="12" t="n">
        <x:v>180</x:v>
      </x:c>
      <x:c r="L146" s="12" t="n">
        <x:v>65</x:v>
      </x:c>
      <x:c r="M146" s="12" t="n">
        <x:f>J146*K146</x:f>
        <x:v>360</x:v>
      </x:c>
      <x:c r="N146" s="12" t="n">
        <x:f>J146*L146</x:f>
        <x:v>130</x:v>
      </x:c>
      <x:c r="O146" s="12" t="n">
        <x:f>M146-N146</x:f>
        <x:v>230</x:v>
      </x:c>
      <x:c r="P146" s="12" t="n">
        <x:v>15850</x:v>
      </x:c>
    </x:row>
    <x:row r="147">
      <x:c r="A147" t="str">
        <x:v>O0146</x:v>
      </x:c>
      <x:c r="B147" s="10" t="n">
        <x:v>46080</x:v>
      </x:c>
      <x:c r="C147" t="str">
        <x:v>C039</x:v>
      </x:c>
      <x:c r="D147" t="str">
        <x:v>Customer 39</x:v>
      </x:c>
      <x:c r="E147" t="str">
        <x:v>Corporate</x:v>
      </x:c>
      <x:c r="F147" t="str">
        <x:v>East</x:v>
      </x:c>
      <x:c r="G147" t="str">
        <x:v>P003</x:v>
      </x:c>
      <x:c r="H147" t="str">
        <x:v>Keyboard</x:v>
      </x:c>
      <x:c r="I147" t="str">
        <x:v>Accessories</x:v>
      </x:c>
      <x:c r="J147" t="n">
        <x:v>1</x:v>
      </x:c>
      <x:c r="K147" s="12" t="n">
        <x:v>57.04</x:v>
      </x:c>
      <x:c r="L147" s="12" t="n">
        <x:v>33</x:v>
      </x:c>
      <x:c r="M147" s="12" t="n">
        <x:f>J147*K147</x:f>
        <x:v>57.04</x:v>
      </x:c>
      <x:c r="N147" s="12" t="n">
        <x:f>J147*L147</x:f>
        <x:v>33</x:v>
      </x:c>
      <x:c r="O147" s="12" t="n">
        <x:f>M147-N147</x:f>
        <x:v>24.04</x:v>
      </x:c>
      <x:c r="P147" s="12" t="n">
        <x:v>14950</x:v>
      </x:c>
    </x:row>
    <x:row r="148">
      <x:c r="A148" t="str">
        <x:v>O0147</x:v>
      </x:c>
      <x:c r="B148" s="10" t="n">
        <x:v>46229</x:v>
      </x:c>
      <x:c r="C148" t="str">
        <x:v>C036</x:v>
      </x:c>
      <x:c r="D148" t="str">
        <x:v>Customer 36</x:v>
      </x:c>
      <x:c r="E148" t="str">
        <x:v>Community</x:v>
      </x:c>
      <x:c r="F148" t="str">
        <x:v>West</x:v>
      </x:c>
      <x:c r="G148" t="str">
        <x:v>P004</x:v>
      </x:c>
      <x:c r="H148" t="str">
        <x:v>USB-C Hub</x:v>
      </x:c>
      <x:c r="I148" t="str">
        <x:v>Accessories</x:v>
      </x:c>
      <x:c r="J148" t="n">
        <x:v>5</x:v>
      </x:c>
      <x:c r="K148" s="12" t="n">
        <x:v>79</x:v>
      </x:c>
      <x:c r="L148" s="12" t="n">
        <x:v>44</x:v>
      </x:c>
      <x:c r="M148" s="12" t="n">
        <x:f>J148*K148</x:f>
        <x:v>395</x:v>
      </x:c>
      <x:c r="N148" s="12" t="n">
        <x:f>J148*L148</x:f>
        <x:v>220</x:v>
      </x:c>
      <x:c r="O148" s="12" t="n">
        <x:f>M148-N148</x:f>
        <x:v>175</x:v>
      </x:c>
      <x:c r="P148" s="12" t="n">
        <x:v>16700</x:v>
      </x:c>
    </x:row>
    <x:row r="149">
      <x:c r="A149" t="str">
        <x:v>O0148</x:v>
      </x:c>
      <x:c r="B149" s="10" t="n">
        <x:v>46053</x:v>
      </x:c>
      <x:c r="C149" t="str">
        <x:v>C035</x:v>
      </x:c>
      <x:c r="D149" t="str">
        <x:v>Customer 35</x:v>
      </x:c>
      <x:c r="E149" t="str">
        <x:v>Corporate</x:v>
      </x:c>
      <x:c r="F149" t="str">
        <x:v>East</x:v>
      </x:c>
      <x:c r="G149" t="str">
        <x:v>P003</x:v>
      </x:c>
      <x:c r="H149" t="str">
        <x:v>Keyboard</x:v>
      </x:c>
      <x:c r="I149" t="str">
        <x:v>Accessories</x:v>
      </x:c>
      <x:c r="J149" t="n">
        <x:v>2</x:v>
      </x:c>
      <x:c r="K149" s="12" t="n">
        <x:v>62</x:v>
      </x:c>
      <x:c r="L149" s="12" t="n">
        <x:v>33</x:v>
      </x:c>
      <x:c r="M149" s="12" t="n">
        <x:f>J149*K149</x:f>
        <x:v>124</x:v>
      </x:c>
      <x:c r="N149" s="12" t="n">
        <x:f>J149*L149</x:f>
        <x:v>66</x:v>
      </x:c>
      <x:c r="O149" s="12" t="n">
        <x:f>M149-N149</x:f>
        <x:v>58</x:v>
      </x:c>
      <x:c r="P149" s="12" t="n">
        <x:v>14500</x:v>
      </x:c>
    </x:row>
    <x:row r="150">
      <x:c r="A150" t="str">
        <x:v>O0149</x:v>
      </x:c>
      <x:c r="B150" s="10" t="n">
        <x:v>46305</x:v>
      </x:c>
      <x:c r="C150" t="str">
        <x:v>C009</x:v>
      </x:c>
      <x:c r="D150" t="str">
        <x:v>Customer 09</x:v>
      </x:c>
      <x:c r="E150" t="str">
        <x:v>Student</x:v>
      </x:c>
      <x:c r="F150" t="str">
        <x:v>North</x:v>
      </x:c>
      <x:c r="G150" t="str">
        <x:v>P004</x:v>
      </x:c>
      <x:c r="H150" t="str">
        <x:v>USB-C Hub</x:v>
      </x:c>
      <x:c r="I150" t="str">
        <x:v>Accessories</x:v>
      </x:c>
      <x:c r="J150" t="n">
        <x:v>5</x:v>
      </x:c>
      <x:c r="K150" s="12" t="n">
        <x:v>79</x:v>
      </x:c>
      <x:c r="L150" s="12" t="n">
        <x:v>44</x:v>
      </x:c>
      <x:c r="M150" s="12" t="n">
        <x:f>J150*K150</x:f>
        <x:v>395</x:v>
      </x:c>
      <x:c r="N150" s="12" t="n">
        <x:f>J150*L150</x:f>
        <x:v>220</x:v>
      </x:c>
      <x:c r="O150" s="12" t="n">
        <x:f>M150-N150</x:f>
        <x:v>175</x:v>
      </x:c>
      <x:c r="P150" s="12" t="n">
        <x:v>19050</x:v>
      </x:c>
    </x:row>
    <x:row r="151">
      <x:c r="A151" t="str">
        <x:v>O0150</x:v>
      </x:c>
      <x:c r="B151" s="10" t="n">
        <x:v>46366</x:v>
      </x:c>
      <x:c r="C151" t="str">
        <x:v>C016</x:v>
      </x:c>
      <x:c r="D151" t="str">
        <x:v>Customer 16</x:v>
      </x:c>
      <x:c r="E151" t="str">
        <x:v>Community</x:v>
      </x:c>
      <x:c r="F151" t="str">
        <x:v>West</x:v>
      </x:c>
      <x:c r="G151" t="str">
        <x:v>P006</x:v>
      </x:c>
      <x:c r="H151" t="str">
        <x:v>27-inch Monitor</x:v>
      </x:c>
      <x:c r="I151" t="str">
        <x:v>Hardware</x:v>
      </x:c>
      <x:c r="J151" t="n">
        <x:v>1</x:v>
      </x:c>
      <x:c r="K151" s="12" t="n">
        <x:v>349</x:v>
      </x:c>
      <x:c r="L151" s="12" t="n">
        <x:v>235</x:v>
      </x:c>
      <x:c r="M151" s="12" t="n">
        <x:f>J151*K151</x:f>
        <x:v>349</x:v>
      </x:c>
      <x:c r="N151" s="12" t="n">
        <x:f>J151*L151</x:f>
        <x:v>235</x:v>
      </x:c>
      <x:c r="O151" s="12" t="n">
        <x:f>M151-N151</x:f>
        <x:v>114</x:v>
      </x:c>
      <x:c r="P151" s="12" t="n">
        <x:v>18950</x:v>
      </x:c>
    </x:row>
    <x:row r="152">
      <x:c r="A152" t="str">
        <x:v>O0151</x:v>
      </x:c>
      <x:c r="B152" s="10" t="n">
        <x:v>46209</x:v>
      </x:c>
      <x:c r="C152" t="str">
        <x:v>C010</x:v>
      </x:c>
      <x:c r="D152" t="str">
        <x:v>Customer 10</x:v>
      </x:c>
      <x:c r="E152" t="str">
        <x:v>Small Business</x:v>
      </x:c>
      <x:c r="F152" t="str">
        <x:v>South</x:v>
      </x:c>
      <x:c r="G152" t="str">
        <x:v>P006</x:v>
      </x:c>
      <x:c r="H152" t="str">
        <x:v>27-inch Monitor</x:v>
      </x:c>
      <x:c r="I152" t="str">
        <x:v>Hardware</x:v>
      </x:c>
      <x:c r="J152" t="n">
        <x:v>3</x:v>
      </x:c>
      <x:c r="K152" s="12" t="n">
        <x:v>349</x:v>
      </x:c>
      <x:c r="L152" s="12" t="n">
        <x:v>235</x:v>
      </x:c>
      <x:c r="M152" s="12" t="n">
        <x:f>J152*K152</x:f>
        <x:v>1047</x:v>
      </x:c>
      <x:c r="N152" s="12" t="n">
        <x:f>J152*L152</x:f>
        <x:v>705</x:v>
      </x:c>
      <x:c r="O152" s="12" t="n">
        <x:f>M152-N152</x:f>
        <x:v>342</x:v>
      </x:c>
      <x:c r="P152" s="12" t="n">
        <x:v>15700</x:v>
      </x:c>
    </x:row>
    <x:row r="153">
      <x:c r="A153" t="str">
        <x:v>O0152</x:v>
      </x:c>
      <x:c r="B153" s="10" t="n">
        <x:v>46375</x:v>
      </x:c>
      <x:c r="C153" t="str">
        <x:v>C023</x:v>
      </x:c>
      <x:c r="D153" t="str">
        <x:v>Customer 23</x:v>
      </x:c>
      <x:c r="E153" t="str">
        <x:v>Corporate</x:v>
      </x:c>
      <x:c r="F153" t="str">
        <x:v>East</x:v>
      </x:c>
      <x:c r="G153" t="str">
        <x:v>P004</x:v>
      </x:c>
      <x:c r="H153" t="str">
        <x:v>USB-C Hub</x:v>
      </x:c>
      <x:c r="I153" t="str">
        <x:v>Accessories</x:v>
      </x:c>
      <x:c r="J153" t="n">
        <x:v>3</x:v>
      </x:c>
      <x:c r="K153" s="12" t="n">
        <x:v>79</x:v>
      </x:c>
      <x:c r="L153" s="12" t="n">
        <x:v>44</x:v>
      </x:c>
      <x:c r="M153" s="12" t="n">
        <x:f>J153*K153</x:f>
        <x:v>237</x:v>
      </x:c>
      <x:c r="N153" s="12" t="n">
        <x:f>J153*L153</x:f>
        <x:v>132</x:v>
      </x:c>
      <x:c r="O153" s="12" t="n">
        <x:f>M153-N153</x:f>
        <x:v>105</x:v>
      </x:c>
      <x:c r="P153" s="12" t="n">
        <x:v>19450</x:v>
      </x:c>
    </x:row>
    <x:row r="154">
      <x:c r="A154" t="str">
        <x:v>O0153</x:v>
      </x:c>
      <x:c r="B154" s="10" t="n">
        <x:v>46267</x:v>
      </x:c>
      <x:c r="C154" t="str">
        <x:v>C036</x:v>
      </x:c>
      <x:c r="D154" t="str">
        <x:v>Customer 36</x:v>
      </x:c>
      <x:c r="E154" t="str">
        <x:v>Community</x:v>
      </x:c>
      <x:c r="F154" t="str">
        <x:v>West</x:v>
      </x:c>
      <x:c r="G154" t="str">
        <x:v>P007</x:v>
      </x:c>
      <x:c r="H154" t="str">
        <x:v>Webcam</x:v>
      </x:c>
      <x:c r="I154" t="str">
        <x:v>Hardware</x:v>
      </x:c>
      <x:c r="J154" t="n">
        <x:v>4</x:v>
      </x:c>
      <x:c r="K154" s="12" t="n">
        <x:v>109</x:v>
      </x:c>
      <x:c r="L154" s="12" t="n">
        <x:v>61</x:v>
      </x:c>
      <x:c r="M154" s="12" t="n">
        <x:f>J154*K154</x:f>
        <x:v>436</x:v>
      </x:c>
      <x:c r="N154" s="12" t="n">
        <x:f>J154*L154</x:f>
        <x:v>244</x:v>
      </x:c>
      <x:c r="O154" s="12" t="n">
        <x:f>M154-N154</x:f>
        <x:v>192</x:v>
      </x:c>
      <x:c r="P154" s="12" t="n">
        <x:v>17600</x:v>
      </x:c>
    </x:row>
    <x:row r="155">
      <x:c r="A155" t="str">
        <x:v>O0154</x:v>
      </x:c>
      <x:c r="B155" s="10" t="n">
        <x:v>46288</x:v>
      </x:c>
      <x:c r="C155" t="str">
        <x:v>C034</x:v>
      </x:c>
      <x:c r="D155" t="str">
        <x:v>Customer 34</x:v>
      </x:c>
      <x:c r="E155" t="str">
        <x:v>Small Business</x:v>
      </x:c>
      <x:c r="F155" t="str">
        <x:v>South</x:v>
      </x:c>
      <x:c r="G155" t="str">
        <x:v>P001</x:v>
      </x:c>
      <x:c r="H155" t="str">
        <x:v>Laptop Stand</x:v>
      </x:c>
      <x:c r="I155" t="str">
        <x:v>Accessories</x:v>
      </x:c>
      <x:c r="J155" t="n">
        <x:v>1</x:v>
      </x:c>
      <x:c r="K155" s="12" t="n">
        <x:v>45</x:v>
      </x:c>
      <x:c r="L155" s="12" t="n">
        <x:v>23</x:v>
      </x:c>
      <x:c r="M155" s="12" t="n">
        <x:f>J155*K155</x:f>
        <x:v>45</x:v>
      </x:c>
      <x:c r="N155" s="12" t="n">
        <x:f>J155*L155</x:f>
        <x:v>23</x:v>
      </x:c>
      <x:c r="O155" s="12" t="n">
        <x:f>M155-N155</x:f>
        <x:v>22</x:v>
      </x:c>
      <x:c r="P155" s="12" t="n">
        <x:v>16600</x:v>
      </x:c>
    </x:row>
    <x:row r="156">
      <x:c r="A156" t="str">
        <x:v>O0155</x:v>
      </x:c>
      <x:c r="B156" s="10" t="n">
        <x:v>46114</x:v>
      </x:c>
      <x:c r="C156" t="str">
        <x:v>C025</x:v>
      </x:c>
      <x:c r="D156" t="str">
        <x:v>Customer 25</x:v>
      </x:c>
      <x:c r="E156" t="str">
        <x:v>Student</x:v>
      </x:c>
      <x:c r="F156" t="str">
        <x:v>North</x:v>
      </x:c>
      <x:c r="G156" t="str">
        <x:v>P011</x:v>
      </x:c>
      <x:c r="H156" t="str">
        <x:v>Data Cleanup Service</x:v>
      </x:c>
      <x:c r="I156" t="str">
        <x:v>Services</x:v>
      </x:c>
      <x:c r="J156" t="n">
        <x:v>3</x:v>
      </x:c>
      <x:c r="K156" s="12" t="n">
        <x:v>320</x:v>
      </x:c>
      <x:c r="L156" s="12" t="n">
        <x:v>140</x:v>
      </x:c>
      <x:c r="M156" s="12" t="n">
        <x:f>J156*K156</x:f>
        <x:v>960</x:v>
      </x:c>
      <x:c r="N156" s="12" t="n">
        <x:f>J156*L156</x:f>
        <x:v>420</x:v>
      </x:c>
      <x:c r="O156" s="12" t="n">
        <x:f>M156-N156</x:f>
        <x:v>540</x:v>
      </x:c>
      <x:c r="P156" s="12" t="n">
        <x:v>16350</x:v>
      </x:c>
    </x:row>
    <x:row r="157">
      <x:c r="A157" t="str">
        <x:v>O0156</x:v>
      </x:c>
      <x:c r="B157" s="10" t="n">
        <x:v>46054</x:v>
      </x:c>
      <x:c r="C157" t="str">
        <x:v>C037</x:v>
      </x:c>
      <x:c r="D157" t="str">
        <x:v>Customer 37</x:v>
      </x:c>
      <x:c r="E157" t="str">
        <x:v>Student</x:v>
      </x:c>
      <x:c r="F157" t="str">
        <x:v>North</x:v>
      </x:c>
      <x:c r="G157" t="str">
        <x:v>P011</x:v>
      </x:c>
      <x:c r="H157" t="str">
        <x:v>Data Cleanup Service</x:v>
      </x:c>
      <x:c r="I157" t="str">
        <x:v>Services</x:v>
      </x:c>
      <x:c r="J157" t="n">
        <x:v>1</x:v>
      </x:c>
      <x:c r="K157" s="12" t="n">
        <x:v>320</x:v>
      </x:c>
      <x:c r="L157" s="12" t="n">
        <x:v>140</x:v>
      </x:c>
      <x:c r="M157" s="12" t="n">
        <x:f>J157*K157</x:f>
        <x:v>320</x:v>
      </x:c>
      <x:c r="N157" s="12" t="n">
        <x:f>J157*L157</x:f>
        <x:v>140</x:v>
      </x:c>
      <x:c r="O157" s="12" t="n">
        <x:f>M157-N157</x:f>
        <x:v>180</x:v>
      </x:c>
      <x:c r="P157" s="12" t="n">
        <x:v>15450</x:v>
      </x:c>
    </x:row>
    <x:row r="158">
      <x:c r="A158" t="str">
        <x:v>O0157</x:v>
      </x:c>
      <x:c r="B158" s="10" t="n">
        <x:v>46091</x:v>
      </x:c>
      <x:c r="C158" t="str">
        <x:v>C008</x:v>
      </x:c>
      <x:c r="D158" t="str">
        <x:v>Customer 08</x:v>
      </x:c>
      <x:c r="E158" t="str">
        <x:v>Community</x:v>
      </x:c>
      <x:c r="F158" t="str">
        <x:v>West</x:v>
      </x:c>
      <x:c r="G158" t="str">
        <x:v>P002</x:v>
      </x:c>
      <x:c r="H158" t="str">
        <x:v>Wireless Mouse</x:v>
      </x:c>
      <x:c r="I158" t="str">
        <x:v>Accessories</x:v>
      </x:c>
      <x:c r="J158" t="n">
        <x:v>5</x:v>
      </x:c>
      <x:c r="K158" s="12" t="n">
        <x:v>38</x:v>
      </x:c>
      <x:c r="L158" s="12" t="n">
        <x:v>18</x:v>
      </x:c>
      <x:c r="M158" s="12" t="n">
        <x:f>J158*K158</x:f>
        <x:v>190</x:v>
      </x:c>
      <x:c r="N158" s="12" t="n">
        <x:f>J158*L158</x:f>
        <x:v>90</x:v>
      </x:c>
      <x:c r="O158" s="12" t="n">
        <x:f>M158-N158</x:f>
        <x:v>100</x:v>
      </x:c>
      <x:c r="P158" s="12" t="n">
        <x:v>14900</x:v>
      </x:c>
    </x:row>
    <x:row r="159">
      <x:c r="A159" t="str">
        <x:v>O0158</x:v>
      </x:c>
      <x:c r="B159" s="10" t="n">
        <x:v>46142</x:v>
      </x:c>
      <x:c r="C159" t="str">
        <x:v>C017</x:v>
      </x:c>
      <x:c r="D159" t="str">
        <x:v>Customer 17</x:v>
      </x:c>
      <x:c r="E159" t="str">
        <x:v>Student</x:v>
      </x:c>
      <x:c r="F159" t="str">
        <x:v>North</x:v>
      </x:c>
      <x:c r="G159" t="str">
        <x:v>P007</x:v>
      </x:c>
      <x:c r="H159" t="str">
        <x:v>Webcam</x:v>
      </x:c>
      <x:c r="I159" t="str">
        <x:v>Hardware</x:v>
      </x:c>
      <x:c r="J159" t="n">
        <x:v>2</x:v>
      </x:c>
      <x:c r="K159" s="12" t="n">
        <x:v>109</x:v>
      </x:c>
      <x:c r="L159" s="12" t="n">
        <x:v>61</x:v>
      </x:c>
      <x:c r="M159" s="12" t="n">
        <x:f>J159*K159</x:f>
        <x:v>218</x:v>
      </x:c>
      <x:c r="N159" s="12" t="n">
        <x:f>J159*L159</x:f>
        <x:v>122</x:v>
      </x:c>
      <x:c r="O159" s="12" t="n">
        <x:f>M159-N159</x:f>
        <x:v>96</x:v>
      </x:c>
      <x:c r="P159" s="12" t="n">
        <x:v>16350</x:v>
      </x:c>
    </x:row>
    <x:row r="160">
      <x:c r="A160" t="str">
        <x:v>O0159</x:v>
      </x:c>
      <x:c r="B160" s="10" t="n">
        <x:v>46247</x:v>
      </x:c>
      <x:c r="C160" t="str">
        <x:v>C040</x:v>
      </x:c>
      <x:c r="D160" t="str">
        <x:v>Customer 40</x:v>
      </x:c>
      <x:c r="E160" t="str">
        <x:v>Community</x:v>
      </x:c>
      <x:c r="F160" t="str">
        <x:v>West</x:v>
      </x:c>
      <x:c r="G160" t="str">
        <x:v>P010</x:v>
      </x:c>
      <x:c r="H160" t="str">
        <x:v>Support Package</x:v>
      </x:c>
      <x:c r="I160" t="str">
        <x:v>Services</x:v>
      </x:c>
      <x:c r="J160" t="n">
        <x:v>2</x:v>
      </x:c>
      <x:c r="K160" s="12" t="n">
        <x:v>240</x:v>
      </x:c>
      <x:c r="L160" s="12" t="n">
        <x:v>95</x:v>
      </x:c>
      <x:c r="M160" s="12" t="n">
        <x:f>J160*K160</x:f>
        <x:v>480</x:v>
      </x:c>
      <x:c r="N160" s="12" t="n">
        <x:f>J160*L160</x:f>
        <x:v>190</x:v>
      </x:c>
      <x:c r="O160" s="12" t="n">
        <x:f>M160-N160</x:f>
        <x:v>290</x:v>
      </x:c>
      <x:c r="P160" s="12" t="n">
        <x:v>17150</x:v>
      </x:c>
    </x:row>
    <x:row r="161">
      <x:c r="A161" t="str">
        <x:v>O0160</x:v>
      </x:c>
      <x:c r="B161" s="10" t="n">
        <x:v>46272</x:v>
      </x:c>
      <x:c r="C161" t="str">
        <x:v>C007</x:v>
      </x:c>
      <x:c r="D161" t="str">
        <x:v>Customer 07</x:v>
      </x:c>
      <x:c r="E161" t="str">
        <x:v>Corporate</x:v>
      </x:c>
      <x:c r="F161" t="str">
        <x:v>East</x:v>
      </x:c>
      <x:c r="G161" t="str">
        <x:v>P002</x:v>
      </x:c>
      <x:c r="H161" t="str">
        <x:v>Wireless Mouse</x:v>
      </x:c>
      <x:c r="I161" t="str">
        <x:v>Accessories</x:v>
      </x:c>
      <x:c r="J161" t="n">
        <x:v>1</x:v>
      </x:c>
      <x:c r="K161" s="12" t="n">
        <x:v>38</x:v>
      </x:c>
      <x:c r="L161" s="12" t="n">
        <x:v>18</x:v>
      </x:c>
      <x:c r="M161" s="12" t="n">
        <x:f>J161*K161</x:f>
        <x:v>38</x:v>
      </x:c>
      <x:c r="N161" s="12" t="n">
        <x:f>J161*L161</x:f>
        <x:v>18</x:v>
      </x:c>
      <x:c r="O161" s="12" t="n">
        <x:f>M161-N161</x:f>
        <x:v>20</x:v>
      </x:c>
      <x:c r="P161" s="12" t="n">
        <x:v>18100</x:v>
      </x:c>
    </x:row>
    <x:row r="162">
      <x:c r="A162" t="str">
        <x:v>O0161</x:v>
      </x:c>
      <x:c r="B162" s="10" t="n">
        <x:v>46088</x:v>
      </x:c>
      <x:c r="C162" t="str">
        <x:v>C012</x:v>
      </x:c>
      <x:c r="D162" t="str">
        <x:v>Customer 12</x:v>
      </x:c>
      <x:c r="E162" t="str">
        <x:v>Community</x:v>
      </x:c>
      <x:c r="F162" t="str">
        <x:v>West</x:v>
      </x:c>
      <x:c r="G162" t="str">
        <x:v>P004</x:v>
      </x:c>
      <x:c r="H162" t="str">
        <x:v>USB-C Hub</x:v>
      </x:c>
      <x:c r="I162" t="str">
        <x:v>Accessories</x:v>
      </x:c>
      <x:c r="J162" t="n">
        <x:v>2</x:v>
      </x:c>
      <x:c r="K162" s="12" t="n">
        <x:v>79</x:v>
      </x:c>
      <x:c r="L162" s="12" t="n">
        <x:v>44</x:v>
      </x:c>
      <x:c r="M162" s="12" t="n">
        <x:f>J162*K162</x:f>
        <x:v>158</x:v>
      </x:c>
      <x:c r="N162" s="12" t="n">
        <x:f>J162*L162</x:f>
        <x:v>88</x:v>
      </x:c>
      <x:c r="O162" s="12" t="n">
        <x:f>M162-N162</x:f>
        <x:v>70</x:v>
      </x:c>
      <x:c r="P162" s="12" t="n">
        <x:v>14900</x:v>
      </x:c>
    </x:row>
    <x:row r="163">
      <x:c r="A163" t="str">
        <x:v>O0162</x:v>
      </x:c>
      <x:c r="B163" s="10" t="n">
        <x:v>46120</x:v>
      </x:c>
      <x:c r="C163" t="str">
        <x:v>C006</x:v>
      </x:c>
      <x:c r="D163" t="str">
        <x:v>Customer 06</x:v>
      </x:c>
      <x:c r="E163" t="str">
        <x:v>Small Business</x:v>
      </x:c>
      <x:c r="F163" t="str">
        <x:v>South</x:v>
      </x:c>
      <x:c r="G163" t="str">
        <x:v>P001</x:v>
      </x:c>
      <x:c r="H163" t="str">
        <x:v>Laptop Stand</x:v>
      </x:c>
      <x:c r="I163" t="str">
        <x:v>Accessories</x:v>
      </x:c>
      <x:c r="J163" t="n">
        <x:v>1</x:v>
      </x:c>
      <x:c r="K163" s="12" t="n">
        <x:v>45</x:v>
      </x:c>
      <x:c r="L163" s="12" t="n">
        <x:v>23</x:v>
      </x:c>
      <x:c r="M163" s="12" t="n">
        <x:f>J163*K163</x:f>
        <x:v>45</x:v>
      </x:c>
      <x:c r="N163" s="12" t="n">
        <x:f>J163*L163</x:f>
        <x:v>23</x:v>
      </x:c>
      <x:c r="O163" s="12" t="n">
        <x:f>M163-N163</x:f>
        <x:v>22</x:v>
      </x:c>
      <x:c r="P163" s="12" t="n">
        <x:v>14350</x:v>
      </x:c>
    </x:row>
    <x:row r="164">
      <x:c r="A164" t="str">
        <x:v>O0163</x:v>
      </x:c>
      <x:c r="B164" s="10" t="n">
        <x:v>46292</x:v>
      </x:c>
      <x:c r="C164" t="str">
        <x:v>C038</x:v>
      </x:c>
      <x:c r="D164" t="str">
        <x:v>Customer 38</x:v>
      </x:c>
      <x:c r="E164" t="str">
        <x:v>Small Business</x:v>
      </x:c>
      <x:c r="F164" t="str">
        <x:v>South</x:v>
      </x:c>
      <x:c r="G164" t="str">
        <x:v>P004</x:v>
      </x:c>
      <x:c r="H164" t="str">
        <x:v>USB-C Hub</x:v>
      </x:c>
      <x:c r="I164" t="str">
        <x:v>Accessories</x:v>
      </x:c>
      <x:c r="J164" t="n">
        <x:v>5</x:v>
      </x:c>
      <x:c r="K164" s="12" t="n">
        <x:v>79</x:v>
      </x:c>
      <x:c r="L164" s="12" t="n">
        <x:v>44</x:v>
      </x:c>
      <x:c r="M164" s="12" t="n">
        <x:f>J164*K164</x:f>
        <x:v>395</x:v>
      </x:c>
      <x:c r="N164" s="12" t="n">
        <x:f>J164*L164</x:f>
        <x:v>220</x:v>
      </x:c>
      <x:c r="O164" s="12" t="n">
        <x:f>M164-N164</x:f>
        <x:v>175</x:v>
      </x:c>
      <x:c r="P164" s="12" t="n">
        <x:v>16600</x:v>
      </x:c>
    </x:row>
    <x:row r="165">
      <x:c r="A165" t="str">
        <x:v>O0164</x:v>
      </x:c>
      <x:c r="B165" s="10" t="n">
        <x:v>46255</x:v>
      </x:c>
      <x:c r="C165" t="str">
        <x:v>C032</x:v>
      </x:c>
      <x:c r="D165" t="str">
        <x:v>Customer 32</x:v>
      </x:c>
      <x:c r="E165" t="str">
        <x:v>Community</x:v>
      </x:c>
      <x:c r="F165" t="str">
        <x:v>West</x:v>
      </x:c>
      <x:c r="G165" t="str">
        <x:v>P007</x:v>
      </x:c>
      <x:c r="H165" t="str">
        <x:v>Webcam</x:v>
      </x:c>
      <x:c r="I165" t="str">
        <x:v>Hardware</x:v>
      </x:c>
      <x:c r="J165" t="n">
        <x:v>1</x:v>
      </x:c>
      <x:c r="K165" s="12" t="n">
        <x:v>109</x:v>
      </x:c>
      <x:c r="L165" s="12" t="n">
        <x:v>61</x:v>
      </x:c>
      <x:c r="M165" s="12" t="n">
        <x:f>J165*K165</x:f>
        <x:v>109</x:v>
      </x:c>
      <x:c r="N165" s="12" t="n">
        <x:f>J165*L165</x:f>
        <x:v>61</x:v>
      </x:c>
      <x:c r="O165" s="12" t="n">
        <x:f>M165-N165</x:f>
        <x:v>48</x:v>
      </x:c>
      <x:c r="P165" s="12" t="n">
        <x:v>17150</x:v>
      </x:c>
    </x:row>
    <x:row r="166">
      <x:c r="A166" t="str">
        <x:v>O0165</x:v>
      </x:c>
      <x:c r="B166" s="10" t="n">
        <x:v>46096</x:v>
      </x:c>
      <x:c r="C166" t="str">
        <x:v>C015</x:v>
      </x:c>
      <x:c r="D166" t="str">
        <x:v>Customer 15</x:v>
      </x:c>
      <x:c r="E166" t="str">
        <x:v>Corporate</x:v>
      </x:c>
      <x:c r="F166" t="str">
        <x:v>East</x:v>
      </x:c>
      <x:c r="G166" t="str">
        <x:v>P010</x:v>
      </x:c>
      <x:c r="H166" t="str">
        <x:v>Support Package</x:v>
      </x:c>
      <x:c r="I166" t="str">
        <x:v>Services</x:v>
      </x:c>
      <x:c r="J166" t="n">
        <x:v>2</x:v>
      </x:c>
      <x:c r="K166" s="12" t="n">
        <x:v>240</x:v>
      </x:c>
      <x:c r="L166" s="12" t="n">
        <x:v>95</x:v>
      </x:c>
      <x:c r="M166" s="12" t="n">
        <x:f>J166*K166</x:f>
        <x:v>480</x:v>
      </x:c>
      <x:c r="N166" s="12" t="n">
        <x:f>J166*L166</x:f>
        <x:v>190</x:v>
      </x:c>
      <x:c r="O166" s="12" t="n">
        <x:f>M166-N166</x:f>
        <x:v>290</x:v>
      </x:c>
      <x:c r="P166" s="12" t="n">
        <x:v>15400</x:v>
      </x:c>
    </x:row>
    <x:row r="167">
      <x:c r="A167" t="str">
        <x:v>O0166</x:v>
      </x:c>
      <x:c r="B167" s="10" t="n">
        <x:v>46087</x:v>
      </x:c>
      <x:c r="C167" t="str">
        <x:v>C005</x:v>
      </x:c>
      <x:c r="D167" t="str">
        <x:v>Customer 05</x:v>
      </x:c>
      <x:c r="E167" t="str">
        <x:v>Student</x:v>
      </x:c>
      <x:c r="F167" t="str">
        <x:v>North</x:v>
      </x:c>
      <x:c r="G167" t="str">
        <x:v>P006</x:v>
      </x:c>
      <x:c r="H167" t="str">
        <x:v>27-inch Monitor</x:v>
      </x:c>
      <x:c r="I167" t="str">
        <x:v>Hardware</x:v>
      </x:c>
      <x:c r="J167" t="n">
        <x:v>3</x:v>
      </x:c>
      <x:c r="K167" s="12" t="n">
        <x:v>321.08</x:v>
      </x:c>
      <x:c r="L167" s="12" t="n">
        <x:v>235</x:v>
      </x:c>
      <x:c r="M167" s="12" t="n">
        <x:f>J167*K167</x:f>
        <x:v>963.24</x:v>
      </x:c>
      <x:c r="N167" s="12" t="n">
        <x:f>J167*L167</x:f>
        <x:v>705</x:v>
      </x:c>
      <x:c r="O167" s="12" t="n">
        <x:f>M167-N167</x:f>
        <x:v>258.24</x:v>
      </x:c>
      <x:c r="P167" s="12" t="n">
        <x:v>15900</x:v>
      </x:c>
    </x:row>
    <x:row r="168">
      <x:c r="A168" t="str">
        <x:v>O0167</x:v>
      </x:c>
      <x:c r="B168" s="10" t="n">
        <x:v>46050</x:v>
      </x:c>
      <x:c r="C168" t="str">
        <x:v>C019</x:v>
      </x:c>
      <x:c r="D168" t="str">
        <x:v>Customer 19</x:v>
      </x:c>
      <x:c r="E168" t="str">
        <x:v>Corporate</x:v>
      </x:c>
      <x:c r="F168" t="str">
        <x:v>East</x:v>
      </x:c>
      <x:c r="G168" t="str">
        <x:v>P010</x:v>
      </x:c>
      <x:c r="H168" t="str">
        <x:v>Support Package</x:v>
      </x:c>
      <x:c r="I168" t="str">
        <x:v>Services</x:v>
      </x:c>
      <x:c r="J168" t="n">
        <x:v>3</x:v>
      </x:c>
      <x:c r="K168" s="12" t="n">
        <x:v>240</x:v>
      </x:c>
      <x:c r="L168" s="12" t="n">
        <x:v>95</x:v>
      </x:c>
      <x:c r="M168" s="12" t="n">
        <x:f>J168*K168</x:f>
        <x:v>720</x:v>
      </x:c>
      <x:c r="N168" s="12" t="n">
        <x:f>J168*L168</x:f>
        <x:v>285</x:v>
      </x:c>
      <x:c r="O168" s="12" t="n">
        <x:f>M168-N168</x:f>
        <x:v>435</x:v>
      </x:c>
      <x:c r="P168" s="12" t="n">
        <x:v>14500</x:v>
      </x:c>
    </x:row>
    <x:row r="169">
      <x:c r="A169" t="str">
        <x:v>O0168</x:v>
      </x:c>
      <x:c r="B169" s="10" t="n">
        <x:v>46180</x:v>
      </x:c>
      <x:c r="C169" t="str">
        <x:v>C007</x:v>
      </x:c>
      <x:c r="D169" t="str">
        <x:v>Customer 07</x:v>
      </x:c>
      <x:c r="E169" t="str">
        <x:v>Corporate</x:v>
      </x:c>
      <x:c r="F169" t="str">
        <x:v>East</x:v>
      </x:c>
      <x:c r="G169" t="str">
        <x:v>P012</x:v>
      </x:c>
      <x:c r="H169" t="str">
        <x:v>Dashboard Setup</x:v>
      </x:c>
      <x:c r="I169" t="str">
        <x:v>Services</x:v>
      </x:c>
      <x:c r="J169" t="n">
        <x:v>1</x:v>
      </x:c>
      <x:c r="K169" s="12" t="n">
        <x:v>450</x:v>
      </x:c>
      <x:c r="L169" s="12" t="n">
        <x:v>205</x:v>
      </x:c>
      <x:c r="M169" s="12" t="n">
        <x:f>J169*K169</x:f>
        <x:v>450</x:v>
      </x:c>
      <x:c r="N169" s="12" t="n">
        <x:f>J169*L169</x:f>
        <x:v>205</x:v>
      </x:c>
      <x:c r="O169" s="12" t="n">
        <x:f>M169-N169</x:f>
        <x:v>245</x:v>
      </x:c>
      <x:c r="P169" s="12" t="n">
        <x:v>16750</x:v>
      </x:c>
    </x:row>
    <x:row r="170">
      <x:c r="A170" t="str">
        <x:v>O0169</x:v>
      </x:c>
      <x:c r="B170" s="10" t="n">
        <x:v>46378</x:v>
      </x:c>
      <x:c r="C170" t="str">
        <x:v>C002</x:v>
      </x:c>
      <x:c r="D170" t="str">
        <x:v>Customer 02</x:v>
      </x:c>
      <x:c r="E170" t="str">
        <x:v>Small Business</x:v>
      </x:c>
      <x:c r="F170" t="str">
        <x:v>South</x:v>
      </x:c>
      <x:c r="G170" t="str">
        <x:v>P003</x:v>
      </x:c>
      <x:c r="H170" t="str">
        <x:v>Keyboard</x:v>
      </x:c>
      <x:c r="I170" t="str">
        <x:v>Accessories</x:v>
      </x:c>
      <x:c r="J170" t="n">
        <x:v>2</x:v>
      </x:c>
      <x:c r="K170" s="12" t="n">
        <x:v>57.04</x:v>
      </x:c>
      <x:c r="L170" s="12" t="n">
        <x:v>33</x:v>
      </x:c>
      <x:c r="M170" s="12" t="n">
        <x:f>J170*K170</x:f>
        <x:v>114.08</x:v>
      </x:c>
      <x:c r="N170" s="12" t="n">
        <x:f>J170*L170</x:f>
        <x:v>66</x:v>
      </x:c>
      <x:c r="O170" s="12" t="n">
        <x:f>M170-N170</x:f>
        <x:v>48.08</x:v>
      </x:c>
      <x:c r="P170" s="12" t="n">
        <x:v>17950</x:v>
      </x:c>
    </x:row>
    <x:row r="171">
      <x:c r="A171" t="str">
        <x:v>O0170</x:v>
      </x:c>
      <x:c r="B171" s="10" t="n">
        <x:v>46177</x:v>
      </x:c>
      <x:c r="C171" t="str">
        <x:v>C006</x:v>
      </x:c>
      <x:c r="D171" t="str">
        <x:v>Customer 06</x:v>
      </x:c>
      <x:c r="E171" t="str">
        <x:v>Small Business</x:v>
      </x:c>
      <x:c r="F171" t="str">
        <x:v>South</x:v>
      </x:c>
      <x:c r="G171" t="str">
        <x:v>P004</x:v>
      </x:c>
      <x:c r="H171" t="str">
        <x:v>USB-C Hub</x:v>
      </x:c>
      <x:c r="I171" t="str">
        <x:v>Accessories</x:v>
      </x:c>
      <x:c r="J171" t="n">
        <x:v>1</x:v>
      </x:c>
      <x:c r="K171" s="12" t="n">
        <x:v>72.68</x:v>
      </x:c>
      <x:c r="L171" s="12" t="n">
        <x:v>44</x:v>
      </x:c>
      <x:c r="M171" s="12" t="n">
        <x:f>J171*K171</x:f>
        <x:v>72.68</x:v>
      </x:c>
      <x:c r="N171" s="12" t="n">
        <x:f>J171*L171</x:f>
        <x:v>44</x:v>
      </x:c>
      <x:c r="O171" s="12" t="n">
        <x:f>M171-N171</x:f>
        <x:v>28.680000000000007</x:v>
      </x:c>
      <x:c r="P171" s="12" t="n">
        <x:v>15250</x:v>
      </x:c>
    </x:row>
    <x:row r="172">
      <x:c r="A172" t="str">
        <x:v>O0171</x:v>
      </x:c>
      <x:c r="B172" s="10" t="n">
        <x:v>46333</x:v>
      </x:c>
      <x:c r="C172" t="str">
        <x:v>C003</x:v>
      </x:c>
      <x:c r="D172" t="str">
        <x:v>Customer 03</x:v>
      </x:c>
      <x:c r="E172" t="str">
        <x:v>Corporate</x:v>
      </x:c>
      <x:c r="F172" t="str">
        <x:v>East</x:v>
      </x:c>
      <x:c r="G172" t="str">
        <x:v>P005</x:v>
      </x:c>
      <x:c r="H172" t="str">
        <x:v>24-inch Monitor</x:v>
      </x:c>
      <x:c r="I172" t="str">
        <x:v>Hardware</x:v>
      </x:c>
      <x:c r="J172" t="n">
        <x:v>2</x:v>
      </x:c>
      <x:c r="K172" s="12" t="n">
        <x:v>249</x:v>
      </x:c>
      <x:c r="L172" s="12" t="n">
        <x:v>169</x:v>
      </x:c>
      <x:c r="M172" s="12" t="n">
        <x:f>J172*K172</x:f>
        <x:v>498</x:v>
      </x:c>
      <x:c r="N172" s="12" t="n">
        <x:f>J172*L172</x:f>
        <x:v>338</x:v>
      </x:c>
      <x:c r="O172" s="12" t="n">
        <x:f>M172-N172</x:f>
        <x:v>160</x:v>
      </x:c>
      <x:c r="P172" s="12" t="n">
        <x:v>19000</x:v>
      </x:c>
    </x:row>
    <x:row r="173">
      <x:c r="A173" t="str">
        <x:v>O0172</x:v>
      </x:c>
      <x:c r="B173" s="10" t="n">
        <x:v>46180</x:v>
      </x:c>
      <x:c r="C173" t="str">
        <x:v>C026</x:v>
      </x:c>
      <x:c r="D173" t="str">
        <x:v>Customer 26</x:v>
      </x:c>
      <x:c r="E173" t="str">
        <x:v>Small Business</x:v>
      </x:c>
      <x:c r="F173" t="str">
        <x:v>South</x:v>
      </x:c>
      <x:c r="G173" t="str">
        <x:v>P003</x:v>
      </x:c>
      <x:c r="H173" t="str">
        <x:v>Keyboard</x:v>
      </x:c>
      <x:c r="I173" t="str">
        <x:v>Accessories</x:v>
      </x:c>
      <x:c r="J173" t="n">
        <x:v>3</x:v>
      </x:c>
      <x:c r="K173" s="12" t="n">
        <x:v>57.04</x:v>
      </x:c>
      <x:c r="L173" s="12" t="n">
        <x:v>33</x:v>
      </x:c>
      <x:c r="M173" s="12" t="n">
        <x:f>J173*K173</x:f>
        <x:v>171.12</x:v>
      </x:c>
      <x:c r="N173" s="12" t="n">
        <x:f>J173*L173</x:f>
        <x:v>99</x:v>
      </x:c>
      <x:c r="O173" s="12" t="n">
        <x:f>M173-N173</x:f>
        <x:v>72.12</x:v>
      </x:c>
      <x:c r="P173" s="12" t="n">
        <x:v>15250</x:v>
      </x:c>
    </x:row>
    <x:row r="174">
      <x:c r="A174" t="str">
        <x:v>O0173</x:v>
      </x:c>
      <x:c r="B174" s="10" t="n">
        <x:v>46074</x:v>
      </x:c>
      <x:c r="C174" t="str">
        <x:v>C039</x:v>
      </x:c>
      <x:c r="D174" t="str">
        <x:v>Customer 39</x:v>
      </x:c>
      <x:c r="E174" t="str">
        <x:v>Corporate</x:v>
      </x:c>
      <x:c r="F174" t="str">
        <x:v>East</x:v>
      </x:c>
      <x:c r="G174" t="str">
        <x:v>P006</x:v>
      </x:c>
      <x:c r="H174" t="str">
        <x:v>27-inch Monitor</x:v>
      </x:c>
      <x:c r="I174" t="str">
        <x:v>Hardware</x:v>
      </x:c>
      <x:c r="J174" t="n">
        <x:v>4</x:v>
      </x:c>
      <x:c r="K174" s="12" t="n">
        <x:v>349</x:v>
      </x:c>
      <x:c r="L174" s="12" t="n">
        <x:v>235</x:v>
      </x:c>
      <x:c r="M174" s="12" t="n">
        <x:f>J174*K174</x:f>
        <x:v>1396</x:v>
      </x:c>
      <x:c r="N174" s="12" t="n">
        <x:f>J174*L174</x:f>
        <x:v>940</x:v>
      </x:c>
      <x:c r="O174" s="12" t="n">
        <x:f>M174-N174</x:f>
        <x:v>456</x:v>
      </x:c>
      <x:c r="P174" s="12" t="n">
        <x:v>14950</x:v>
      </x:c>
    </x:row>
    <x:row r="175">
      <x:c r="A175" t="str">
        <x:v>O0174</x:v>
      </x:c>
      <x:c r="B175" s="10" t="n">
        <x:v>46229</x:v>
      </x:c>
      <x:c r="C175" t="str">
        <x:v>C003</x:v>
      </x:c>
      <x:c r="D175" t="str">
        <x:v>Customer 03</x:v>
      </x:c>
      <x:c r="E175" t="str">
        <x:v>Corporate</x:v>
      </x:c>
      <x:c r="F175" t="str">
        <x:v>East</x:v>
      </x:c>
      <x:c r="G175" t="str">
        <x:v>P001</x:v>
      </x:c>
      <x:c r="H175" t="str">
        <x:v>Laptop Stand</x:v>
      </x:c>
      <x:c r="I175" t="str">
        <x:v>Accessories</x:v>
      </x:c>
      <x:c r="J175" t="n">
        <x:v>5</x:v>
      </x:c>
      <x:c r="K175" s="12" t="n">
        <x:v>45</x:v>
      </x:c>
      <x:c r="L175" s="12" t="n">
        <x:v>23</x:v>
      </x:c>
      <x:c r="M175" s="12" t="n">
        <x:f>J175*K175</x:f>
        <x:v>225</x:v>
      </x:c>
      <x:c r="N175" s="12" t="n">
        <x:f>J175*L175</x:f>
        <x:v>115</x:v>
      </x:c>
      <x:c r="O175" s="12" t="n">
        <x:f>M175-N175</x:f>
        <x:v>110</x:v>
      </x:c>
      <x:c r="P175" s="12" t="n">
        <x:v>17200</x:v>
      </x:c>
    </x:row>
    <x:row r="176">
      <x:c r="A176" t="str">
        <x:v>O0175</x:v>
      </x:c>
      <x:c r="B176" s="10" t="n">
        <x:v>46024</x:v>
      </x:c>
      <x:c r="C176" t="str">
        <x:v>C009</x:v>
      </x:c>
      <x:c r="D176" t="str">
        <x:v>Customer 09</x:v>
      </x:c>
      <x:c r="E176" t="str">
        <x:v>Student</x:v>
      </x:c>
      <x:c r="F176" t="str">
        <x:v>North</x:v>
      </x:c>
      <x:c r="G176" t="str">
        <x:v>P009</x:v>
      </x:c>
      <x:c r="H176" t="str">
        <x:v>Cloud Starter Plan</x:v>
      </x:c>
      <x:c r="I176" t="str">
        <x:v>Services</x:v>
      </x:c>
      <x:c r="J176" t="n">
        <x:v>5</x:v>
      </x:c>
      <x:c r="K176" s="12" t="n">
        <x:v>165.6</x:v>
      </x:c>
      <x:c r="L176" s="12" t="n">
        <x:v>65</x:v>
      </x:c>
      <x:c r="M176" s="12" t="n">
        <x:f>J176*K176</x:f>
        <x:v>828</x:v>
      </x:c>
      <x:c r="N176" s="12" t="n">
        <x:f>J176*L176</x:f>
        <x:v>325</x:v>
      </x:c>
      <x:c r="O176" s="12" t="n">
        <x:f>M176-N176</x:f>
        <x:v>503</x:v>
      </x:c>
      <x:c r="P176" s="12" t="n">
        <x:v>15000</x:v>
      </x:c>
    </x:row>
    <x:row r="177">
      <x:c r="A177" t="str">
        <x:v>O0176</x:v>
      </x:c>
      <x:c r="B177" s="10" t="n">
        <x:v>46297</x:v>
      </x:c>
      <x:c r="C177" t="str">
        <x:v>C012</x:v>
      </x:c>
      <x:c r="D177" t="str">
        <x:v>Customer 12</x:v>
      </x:c>
      <x:c r="E177" t="str">
        <x:v>Community</x:v>
      </x:c>
      <x:c r="F177" t="str">
        <x:v>West</x:v>
      </x:c>
      <x:c r="G177" t="str">
        <x:v>P011</x:v>
      </x:c>
      <x:c r="H177" t="str">
        <x:v>Data Cleanup Service</x:v>
      </x:c>
      <x:c r="I177" t="str">
        <x:v>Services</x:v>
      </x:c>
      <x:c r="J177" t="n">
        <x:v>1</x:v>
      </x:c>
      <x:c r="K177" s="12" t="n">
        <x:v>320</x:v>
      </x:c>
      <x:c r="L177" s="12" t="n">
        <x:v>140</x:v>
      </x:c>
      <x:c r="M177" s="12" t="n">
        <x:f>J177*K177</x:f>
        <x:v>320</x:v>
      </x:c>
      <x:c r="N177" s="12" t="n">
        <x:f>J177*L177</x:f>
        <x:v>140</x:v>
      </x:c>
      <x:c r="O177" s="12" t="n">
        <x:f>M177-N177</x:f>
        <x:v>180</x:v>
      </x:c>
      <x:c r="P177" s="12" t="n">
        <x:v>18050</x:v>
      </x:c>
    </x:row>
    <x:row r="178">
      <x:c r="A178" t="str">
        <x:v>O0177</x:v>
      </x:c>
      <x:c r="B178" s="10" t="n">
        <x:v>46158</x:v>
      </x:c>
      <x:c r="C178" t="str">
        <x:v>C038</x:v>
      </x:c>
      <x:c r="D178" t="str">
        <x:v>Customer 38</x:v>
      </x:c>
      <x:c r="E178" t="str">
        <x:v>Small Business</x:v>
      </x:c>
      <x:c r="F178" t="str">
        <x:v>South</x:v>
      </x:c>
      <x:c r="G178" t="str">
        <x:v>P007</x:v>
      </x:c>
      <x:c r="H178" t="str">
        <x:v>Webcam</x:v>
      </x:c>
      <x:c r="I178" t="str">
        <x:v>Hardware</x:v>
      </x:c>
      <x:c r="J178" t="n">
        <x:v>1</x:v>
      </x:c>
      <x:c r="K178" s="12" t="n">
        <x:v>109</x:v>
      </x:c>
      <x:c r="L178" s="12" t="n">
        <x:v>61</x:v>
      </x:c>
      <x:c r="M178" s="12" t="n">
        <x:f>J178*K178</x:f>
        <x:v>109</x:v>
      </x:c>
      <x:c r="N178" s="12" t="n">
        <x:f>J178*L178</x:f>
        <x:v>61</x:v>
      </x:c>
      <x:c r="O178" s="12" t="n">
        <x:f>M178-N178</x:f>
        <x:v>48</x:v>
      </x:c>
      <x:c r="P178" s="12" t="n">
        <x:v>14800</x:v>
      </x:c>
    </x:row>
    <x:row r="179">
      <x:c r="A179" t="str">
        <x:v>O0178</x:v>
      </x:c>
      <x:c r="B179" s="10" t="n">
        <x:v>46350</x:v>
      </x:c>
      <x:c r="C179" t="str">
        <x:v>C040</x:v>
      </x:c>
      <x:c r="D179" t="str">
        <x:v>Customer 40</x:v>
      </x:c>
      <x:c r="E179" t="str">
        <x:v>Community</x:v>
      </x:c>
      <x:c r="F179" t="str">
        <x:v>West</x:v>
      </x:c>
      <x:c r="G179" t="str">
        <x:v>P012</x:v>
      </x:c>
      <x:c r="H179" t="str">
        <x:v>Dashboard Setup</x:v>
      </x:c>
      <x:c r="I179" t="str">
        <x:v>Services</x:v>
      </x:c>
      <x:c r="J179" t="n">
        <x:v>1</x:v>
      </x:c>
      <x:c r="K179" s="12" t="n">
        <x:v>450</x:v>
      </x:c>
      <x:c r="L179" s="12" t="n">
        <x:v>205</x:v>
      </x:c>
      <x:c r="M179" s="12" t="n">
        <x:f>J179*K179</x:f>
        <x:v>450</x:v>
      </x:c>
      <x:c r="N179" s="12" t="n">
        <x:f>J179*L179</x:f>
        <x:v>205</x:v>
      </x:c>
      <x:c r="O179" s="12" t="n">
        <x:f>M179-N179</x:f>
        <x:v>245</x:v>
      </x:c>
      <x:c r="P179" s="12" t="n">
        <x:v>18500</x:v>
      </x:c>
    </x:row>
    <x:row r="180">
      <x:c r="A180" t="str">
        <x:v>O0179</x:v>
      </x:c>
      <x:c r="B180" s="10" t="n">
        <x:v>46293</x:v>
      </x:c>
      <x:c r="C180" t="str">
        <x:v>C027</x:v>
      </x:c>
      <x:c r="D180" t="str">
        <x:v>Customer 27</x:v>
      </x:c>
      <x:c r="E180" t="str">
        <x:v>Corporate</x:v>
      </x:c>
      <x:c r="F180" t="str">
        <x:v>East</x:v>
      </x:c>
      <x:c r="G180" t="str">
        <x:v>P003</x:v>
      </x:c>
      <x:c r="H180" t="str">
        <x:v>Keyboard</x:v>
      </x:c>
      <x:c r="I180" t="str">
        <x:v>Accessories</x:v>
      </x:c>
      <x:c r="J180" t="n">
        <x:v>4</x:v>
      </x:c>
      <x:c r="K180" s="12" t="n">
        <x:v>62</x:v>
      </x:c>
      <x:c r="L180" s="12" t="n">
        <x:v>33</x:v>
      </x:c>
      <x:c r="M180" s="12" t="n">
        <x:f>J180*K180</x:f>
        <x:v>248</x:v>
      </x:c>
      <x:c r="N180" s="12" t="n">
        <x:f>J180*L180</x:f>
        <x:v>132</x:v>
      </x:c>
      <x:c r="O180" s="12" t="n">
        <x:f>M180-N180</x:f>
        <x:v>116</x:v>
      </x:c>
      <x:c r="P180" s="12" t="n">
        <x:v>18100</x:v>
      </x:c>
    </x:row>
    <x:row r="181">
      <x:c r="A181" t="str">
        <x:v>O0180</x:v>
      </x:c>
      <x:c r="B181" s="10" t="n">
        <x:v>46210</x:v>
      </x:c>
      <x:c r="C181" t="str">
        <x:v>C015</x:v>
      </x:c>
      <x:c r="D181" t="str">
        <x:v>Customer 15</x:v>
      </x:c>
      <x:c r="E181" t="str">
        <x:v>Corporate</x:v>
      </x:c>
      <x:c r="F181" t="str">
        <x:v>East</x:v>
      </x:c>
      <x:c r="G181" t="str">
        <x:v>P004</x:v>
      </x:c>
      <x:c r="H181" t="str">
        <x:v>USB-C Hub</x:v>
      </x:c>
      <x:c r="I181" t="str">
        <x:v>Accessories</x:v>
      </x:c>
      <x:c r="J181" t="n">
        <x:v>2</x:v>
      </x:c>
      <x:c r="K181" s="12" t="n">
        <x:v>79</x:v>
      </x:c>
      <x:c r="L181" s="12" t="n">
        <x:v>44</x:v>
      </x:c>
      <x:c r="M181" s="12" t="n">
        <x:f>J181*K181</x:f>
        <x:v>158</x:v>
      </x:c>
      <x:c r="N181" s="12" t="n">
        <x:f>J181*L181</x:f>
        <x:v>88</x:v>
      </x:c>
      <x:c r="O181" s="12" t="n">
        <x:f>M181-N181</x:f>
        <x:v>70</x:v>
      </x:c>
      <x:c r="P181" s="12" t="n">
        <x:v>17200</x:v>
      </x:c>
    </x:row>
    <x:row r="182">
      <x:c r="A182" t="str">
        <x:v>O0181</x:v>
      </x:c>
      <x:c r="B182" s="10" t="n">
        <x:v>46106</x:v>
      </x:c>
      <x:c r="C182" t="str">
        <x:v>C009</x:v>
      </x:c>
      <x:c r="D182" t="str">
        <x:v>Customer 09</x:v>
      </x:c>
      <x:c r="E182" t="str">
        <x:v>Student</x:v>
      </x:c>
      <x:c r="F182" t="str">
        <x:v>North</x:v>
      </x:c>
      <x:c r="G182" t="str">
        <x:v>P003</x:v>
      </x:c>
      <x:c r="H182" t="str">
        <x:v>Keyboard</x:v>
      </x:c>
      <x:c r="I182" t="str">
        <x:v>Accessories</x:v>
      </x:c>
      <x:c r="J182" t="n">
        <x:v>5</x:v>
      </x:c>
      <x:c r="K182" s="12" t="n">
        <x:v>62</x:v>
      </x:c>
      <x:c r="L182" s="12" t="n">
        <x:v>33</x:v>
      </x:c>
      <x:c r="M182" s="12" t="n">
        <x:f>J182*K182</x:f>
        <x:v>310</x:v>
      </x:c>
      <x:c r="N182" s="12" t="n">
        <x:f>J182*L182</x:f>
        <x:v>165</x:v>
      </x:c>
      <x:c r="O182" s="12" t="n">
        <x:f>M182-N182</x:f>
        <x:v>145</x:v>
      </x:c>
      <x:c r="P182" s="12" t="n">
        <x:v>15900</x:v>
      </x:c>
    </x:row>
    <x:row r="183">
      <x:c r="A183" t="str">
        <x:v>O0182</x:v>
      </x:c>
      <x:c r="B183" s="10" t="n">
        <x:v>46179</x:v>
      </x:c>
      <x:c r="C183" t="str">
        <x:v>C033</x:v>
      </x:c>
      <x:c r="D183" t="str">
        <x:v>Customer 33</x:v>
      </x:c>
      <x:c r="E183" t="str">
        <x:v>Student</x:v>
      </x:c>
      <x:c r="F183" t="str">
        <x:v>North</x:v>
      </x:c>
      <x:c r="G183" t="str">
        <x:v>P002</x:v>
      </x:c>
      <x:c r="H183" t="str">
        <x:v>Wireless Mouse</x:v>
      </x:c>
      <x:c r="I183" t="str">
        <x:v>Accessories</x:v>
      </x:c>
      <x:c r="J183" t="n">
        <x:v>3</x:v>
      </x:c>
      <x:c r="K183" s="12" t="n">
        <x:v>38</x:v>
      </x:c>
      <x:c r="L183" s="12" t="n">
        <x:v>18</x:v>
      </x:c>
      <x:c r="M183" s="12" t="n">
        <x:f>J183*K183</x:f>
        <x:v>114</x:v>
      </x:c>
      <x:c r="N183" s="12" t="n">
        <x:f>J183*L183</x:f>
        <x:v>54</x:v>
      </x:c>
      <x:c r="O183" s="12" t="n">
        <x:f>M183-N183</x:f>
        <x:v>60</x:v>
      </x:c>
      <x:c r="P183" s="12" t="n">
        <x:v>17250</x:v>
      </x:c>
    </x:row>
    <x:row r="184">
      <x:c r="A184" t="str">
        <x:v>O0183</x:v>
      </x:c>
      <x:c r="B184" s="10" t="n">
        <x:v>46177</x:v>
      </x:c>
      <x:c r="C184" t="str">
        <x:v>C030</x:v>
      </x:c>
      <x:c r="D184" t="str">
        <x:v>Customer 30</x:v>
      </x:c>
      <x:c r="E184" t="str">
        <x:v>Small Business</x:v>
      </x:c>
      <x:c r="F184" t="str">
        <x:v>South</x:v>
      </x:c>
      <x:c r="G184" t="str">
        <x:v>P009</x:v>
      </x:c>
      <x:c r="H184" t="str">
        <x:v>Cloud Starter Plan</x:v>
      </x:c>
      <x:c r="I184" t="str">
        <x:v>Services</x:v>
      </x:c>
      <x:c r="J184" t="n">
        <x:v>4</x:v>
      </x:c>
      <x:c r="K184" s="12" t="n">
        <x:v>165.6</x:v>
      </x:c>
      <x:c r="L184" s="12" t="n">
        <x:v>65</x:v>
      </x:c>
      <x:c r="M184" s="12" t="n">
        <x:f>J184*K184</x:f>
        <x:v>662.4</x:v>
      </x:c>
      <x:c r="N184" s="12" t="n">
        <x:f>J184*L184</x:f>
        <x:v>260</x:v>
      </x:c>
      <x:c r="O184" s="12" t="n">
        <x:f>M184-N184</x:f>
        <x:v>402.4</x:v>
      </x:c>
      <x:c r="P184" s="12" t="n">
        <x:v>15250</x:v>
      </x:c>
    </x:row>
    <x:row r="185">
      <x:c r="A185" t="str">
        <x:v>O0184</x:v>
      </x:c>
      <x:c r="B185" s="10" t="n">
        <x:v>46272</x:v>
      </x:c>
      <x:c r="C185" t="str">
        <x:v>C002</x:v>
      </x:c>
      <x:c r="D185" t="str">
        <x:v>Customer 02</x:v>
      </x:c>
      <x:c r="E185" t="str">
        <x:v>Small Business</x:v>
      </x:c>
      <x:c r="F185" t="str">
        <x:v>South</x:v>
      </x:c>
      <x:c r="G185" t="str">
        <x:v>P007</x:v>
      </x:c>
      <x:c r="H185" t="str">
        <x:v>Webcam</x:v>
      </x:c>
      <x:c r="I185" t="str">
        <x:v>Hardware</x:v>
      </x:c>
      <x:c r="J185" t="n">
        <x:v>1</x:v>
      </x:c>
      <x:c r="K185" s="12" t="n">
        <x:v>109</x:v>
      </x:c>
      <x:c r="L185" s="12" t="n">
        <x:v>61</x:v>
      </x:c>
      <x:c r="M185" s="12" t="n">
        <x:f>J185*K185</x:f>
        <x:v>109</x:v>
      </x:c>
      <x:c r="N185" s="12" t="n">
        <x:f>J185*L185</x:f>
        <x:v>61</x:v>
      </x:c>
      <x:c r="O185" s="12" t="n">
        <x:f>M185-N185</x:f>
        <x:v>48</x:v>
      </x:c>
      <x:c r="P185" s="12" t="n">
        <x:v>16600</x:v>
      </x:c>
    </x:row>
    <x:row r="186">
      <x:c r="A186" t="str">
        <x:v>O0185</x:v>
      </x:c>
      <x:c r="B186" s="10" t="n">
        <x:v>46023</x:v>
      </x:c>
      <x:c r="C186" t="str">
        <x:v>C010</x:v>
      </x:c>
      <x:c r="D186" t="str">
        <x:v>Customer 10</x:v>
      </x:c>
      <x:c r="E186" t="str">
        <x:v>Small Business</x:v>
      </x:c>
      <x:c r="F186" t="str">
        <x:v>South</x:v>
      </x:c>
      <x:c r="G186" t="str">
        <x:v>P002</x:v>
      </x:c>
      <x:c r="H186" t="str">
        <x:v>Wireless Mouse</x:v>
      </x:c>
      <x:c r="I186" t="str">
        <x:v>Accessories</x:v>
      </x:c>
      <x:c r="J186" t="n">
        <x:v>3</x:v>
      </x:c>
      <x:c r="K186" s="12" t="n">
        <x:v>38</x:v>
      </x:c>
      <x:c r="L186" s="12" t="n">
        <x:v>18</x:v>
      </x:c>
      <x:c r="M186" s="12" t="n">
        <x:f>J186*K186</x:f>
        <x:v>114</x:v>
      </x:c>
      <x:c r="N186" s="12" t="n">
        <x:f>J186*L186</x:f>
        <x:v>54</x:v>
      </x:c>
      <x:c r="O186" s="12" t="n">
        <x:f>M186-N186</x:f>
        <x:v>60</x:v>
      </x:c>
      <x:c r="P186" s="12" t="n">
        <x:v>13000</x:v>
      </x:c>
    </x:row>
    <x:row r="187">
      <x:c r="A187" t="str">
        <x:v>O0186</x:v>
      </x:c>
      <x:c r="B187" s="10" t="n">
        <x:v>46385</x:v>
      </x:c>
      <x:c r="C187" t="str">
        <x:v>C039</x:v>
      </x:c>
      <x:c r="D187" t="str">
        <x:v>Customer 39</x:v>
      </x:c>
      <x:c r="E187" t="str">
        <x:v>Corporate</x:v>
      </x:c>
      <x:c r="F187" t="str">
        <x:v>East</x:v>
      </x:c>
      <x:c r="G187" t="str">
        <x:v>P005</x:v>
      </x:c>
      <x:c r="H187" t="str">
        <x:v>24-inch Monitor</x:v>
      </x:c>
      <x:c r="I187" t="str">
        <x:v>Hardware</x:v>
      </x:c>
      <x:c r="J187" t="n">
        <x:v>5</x:v>
      </x:c>
      <x:c r="K187" s="12" t="n">
        <x:v>249</x:v>
      </x:c>
      <x:c r="L187" s="12" t="n">
        <x:v>169</x:v>
      </x:c>
      <x:c r="M187" s="12" t="n">
        <x:f>J187*K187</x:f>
        <x:v>1245</x:v>
      </x:c>
      <x:c r="N187" s="12" t="n">
        <x:f>J187*L187</x:f>
        <x:v>845</x:v>
      </x:c>
      <x:c r="O187" s="12" t="n">
        <x:f>M187-N187</x:f>
        <x:v>400</x:v>
      </x:c>
      <x:c r="P187" s="12" t="n">
        <x:v>19450</x:v>
      </x:c>
    </x:row>
    <x:row r="188">
      <x:c r="A188" t="str">
        <x:v>O0187</x:v>
      </x:c>
      <x:c r="B188" s="10" t="n">
        <x:v>46241</x:v>
      </x:c>
      <x:c r="C188" t="str">
        <x:v>C019</x:v>
      </x:c>
      <x:c r="D188" t="str">
        <x:v>Customer 19</x:v>
      </x:c>
      <x:c r="E188" t="str">
        <x:v>Corporate</x:v>
      </x:c>
      <x:c r="F188" t="str">
        <x:v>East</x:v>
      </x:c>
      <x:c r="G188" t="str">
        <x:v>P007</x:v>
      </x:c>
      <x:c r="H188" t="str">
        <x:v>Webcam</x:v>
      </x:c>
      <x:c r="I188" t="str">
        <x:v>Hardware</x:v>
      </x:c>
      <x:c r="J188" t="n">
        <x:v>5</x:v>
      </x:c>
      <x:c r="K188" s="12" t="n">
        <x:v>109</x:v>
      </x:c>
      <x:c r="L188" s="12" t="n">
        <x:v>61</x:v>
      </x:c>
      <x:c r="M188" s="12" t="n">
        <x:f>J188*K188</x:f>
        <x:v>545</x:v>
      </x:c>
      <x:c r="N188" s="12" t="n">
        <x:f>J188*L188</x:f>
        <x:v>305</x:v>
      </x:c>
      <x:c r="O188" s="12" t="n">
        <x:f>M188-N188</x:f>
        <x:v>240</x:v>
      </x:c>
      <x:c r="P188" s="12" t="n">
        <x:v>17650</x:v>
      </x:c>
    </x:row>
    <x:row r="189">
      <x:c r="A189" t="str">
        <x:v>O0188</x:v>
      </x:c>
      <x:c r="B189" s="10" t="n">
        <x:v>46035</x:v>
      </x:c>
      <x:c r="C189" t="str">
        <x:v>C026</x:v>
      </x:c>
      <x:c r="D189" t="str">
        <x:v>Customer 26</x:v>
      </x:c>
      <x:c r="E189" t="str">
        <x:v>Small Business</x:v>
      </x:c>
      <x:c r="F189" t="str">
        <x:v>South</x:v>
      </x:c>
      <x:c r="G189" t="str">
        <x:v>P012</x:v>
      </x:c>
      <x:c r="H189" t="str">
        <x:v>Dashboard Setup</x:v>
      </x:c>
      <x:c r="I189" t="str">
        <x:v>Services</x:v>
      </x:c>
      <x:c r="J189" t="n">
        <x:v>3</x:v>
      </x:c>
      <x:c r="K189" s="12" t="n">
        <x:v>450</x:v>
      </x:c>
      <x:c r="L189" s="12" t="n">
        <x:v>205</x:v>
      </x:c>
      <x:c r="M189" s="12" t="n">
        <x:f>J189*K189</x:f>
        <x:v>1350</x:v>
      </x:c>
      <x:c r="N189" s="12" t="n">
        <x:f>J189*L189</x:f>
        <x:v>615</x:v>
      </x:c>
      <x:c r="O189" s="12" t="n">
        <x:f>M189-N189</x:f>
        <x:v>735</x:v>
      </x:c>
      <x:c r="P189" s="12" t="n">
        <x:v>13000</x:v>
      </x:c>
    </x:row>
    <x:row r="190">
      <x:c r="A190" t="str">
        <x:v>O0189</x:v>
      </x:c>
      <x:c r="B190" s="10" t="n">
        <x:v>46054</x:v>
      </x:c>
      <x:c r="C190" t="str">
        <x:v>C018</x:v>
      </x:c>
      <x:c r="D190" t="str">
        <x:v>Customer 18</x:v>
      </x:c>
      <x:c r="E190" t="str">
        <x:v>Small Business</x:v>
      </x:c>
      <x:c r="F190" t="str">
        <x:v>South</x:v>
      </x:c>
      <x:c r="G190" t="str">
        <x:v>P005</x:v>
      </x:c>
      <x:c r="H190" t="str">
        <x:v>24-inch Monitor</x:v>
      </x:c>
      <x:c r="I190" t="str">
        <x:v>Hardware</x:v>
      </x:c>
      <x:c r="J190" t="n">
        <x:v>3</x:v>
      </x:c>
      <x:c r="K190" s="12" t="n">
        <x:v>249</x:v>
      </x:c>
      <x:c r="L190" s="12" t="n">
        <x:v>169</x:v>
      </x:c>
      <x:c r="M190" s="12" t="n">
        <x:f>J190*K190</x:f>
        <x:v>747</x:v>
      </x:c>
      <x:c r="N190" s="12" t="n">
        <x:f>J190*L190</x:f>
        <x:v>507</x:v>
      </x:c>
      <x:c r="O190" s="12" t="n">
        <x:f>M190-N190</x:f>
        <x:v>240</x:v>
      </x:c>
      <x:c r="P190" s="12" t="n">
        <x:v>13450</x:v>
      </x:c>
    </x:row>
    <x:row r="191">
      <x:c r="A191" t="str">
        <x:v>O0190</x:v>
      </x:c>
      <x:c r="B191" s="10" t="n">
        <x:v>46380</x:v>
      </x:c>
      <x:c r="C191" t="str">
        <x:v>C023</x:v>
      </x:c>
      <x:c r="D191" t="str">
        <x:v>Customer 23</x:v>
      </x:c>
      <x:c r="E191" t="str">
        <x:v>Corporate</x:v>
      </x:c>
      <x:c r="F191" t="str">
        <x:v>East</x:v>
      </x:c>
      <x:c r="G191" t="str">
        <x:v>P008</x:v>
      </x:c>
      <x:c r="H191" t="str">
        <x:v>Headset</x:v>
      </x:c>
      <x:c r="I191" t="str">
        <x:v>Hardware</x:v>
      </x:c>
      <x:c r="J191" t="n">
        <x:v>2</x:v>
      </x:c>
      <x:c r="K191" s="12" t="n">
        <x:v>118.68</x:v>
      </x:c>
      <x:c r="L191" s="12" t="n">
        <x:v>72</x:v>
      </x:c>
      <x:c r="M191" s="12" t="n">
        <x:f>J191*K191</x:f>
        <x:v>237.36</x:v>
      </x:c>
      <x:c r="N191" s="12" t="n">
        <x:f>J191*L191</x:f>
        <x:v>144</x:v>
      </x:c>
      <x:c r="O191" s="12" t="n">
        <x:f>M191-N191</x:f>
        <x:v>93.36000000000001</x:v>
      </x:c>
      <x:c r="P191" s="12" t="n">
        <x:v>19450</x:v>
      </x:c>
    </x:row>
    <x:row r="192">
      <x:c r="A192" t="str">
        <x:v>O0191</x:v>
      </x:c>
      <x:c r="B192" s="10" t="n">
        <x:v>46066</x:v>
      </x:c>
      <x:c r="C192" t="str">
        <x:v>C005</x:v>
      </x:c>
      <x:c r="D192" t="str">
        <x:v>Customer 05</x:v>
      </x:c>
      <x:c r="E192" t="str">
        <x:v>Student</x:v>
      </x:c>
      <x:c r="F192" t="str">
        <x:v>North</x:v>
      </x:c>
      <x:c r="G192" t="str">
        <x:v>P009</x:v>
      </x:c>
      <x:c r="H192" t="str">
        <x:v>Cloud Starter Plan</x:v>
      </x:c>
      <x:c r="I192" t="str">
        <x:v>Services</x:v>
      </x:c>
      <x:c r="J192" t="n">
        <x:v>2</x:v>
      </x:c>
      <x:c r="K192" s="12" t="n">
        <x:v>180</x:v>
      </x:c>
      <x:c r="L192" s="12" t="n">
        <x:v>65</x:v>
      </x:c>
      <x:c r="M192" s="12" t="n">
        <x:f>J192*K192</x:f>
        <x:v>360</x:v>
      </x:c>
      <x:c r="N192" s="12" t="n">
        <x:f>J192*L192</x:f>
        <x:v>130</x:v>
      </x:c>
      <x:c r="O192" s="12" t="n">
        <x:f>M192-N192</x:f>
        <x:v>230</x:v>
      </x:c>
      <x:c r="P192" s="12" t="n">
        <x:v>15450</x:v>
      </x:c>
    </x:row>
    <x:row r="193">
      <x:c r="A193" t="str">
        <x:v>O0192</x:v>
      </x:c>
      <x:c r="B193" s="10" t="n">
        <x:v>46367</x:v>
      </x:c>
      <x:c r="C193" t="str">
        <x:v>C004</x:v>
      </x:c>
      <x:c r="D193" t="str">
        <x:v>Customer 04</x:v>
      </x:c>
      <x:c r="E193" t="str">
        <x:v>Community</x:v>
      </x:c>
      <x:c r="F193" t="str">
        <x:v>West</x:v>
      </x:c>
      <x:c r="G193" t="str">
        <x:v>P010</x:v>
      </x:c>
      <x:c r="H193" t="str">
        <x:v>Support Package</x:v>
      </x:c>
      <x:c r="I193" t="str">
        <x:v>Services</x:v>
      </x:c>
      <x:c r="J193" t="n">
        <x:v>1</x:v>
      </x:c>
      <x:c r="K193" s="12" t="n">
        <x:v>240</x:v>
      </x:c>
      <x:c r="L193" s="12" t="n">
        <x:v>95</x:v>
      </x:c>
      <x:c r="M193" s="12" t="n">
        <x:f>J193*K193</x:f>
        <x:v>240</x:v>
      </x:c>
      <x:c r="N193" s="12" t="n">
        <x:f>J193*L193</x:f>
        <x:v>95</x:v>
      </x:c>
      <x:c r="O193" s="12" t="n">
        <x:f>M193-N193</x:f>
        <x:v>145</x:v>
      </x:c>
      <x:c r="P193" s="12" t="n">
        <x:v>18950</x:v>
      </x:c>
    </x:row>
    <x:row r="194">
      <x:c r="A194" t="str">
        <x:v>O0193</x:v>
      </x:c>
      <x:c r="B194" s="10" t="n">
        <x:v>46297</x:v>
      </x:c>
      <x:c r="C194" t="str">
        <x:v>C023</x:v>
      </x:c>
      <x:c r="D194" t="str">
        <x:v>Customer 23</x:v>
      </x:c>
      <x:c r="E194" t="str">
        <x:v>Corporate</x:v>
      </x:c>
      <x:c r="F194" t="str">
        <x:v>East</x:v>
      </x:c>
      <x:c r="G194" t="str">
        <x:v>P006</x:v>
      </x:c>
      <x:c r="H194" t="str">
        <x:v>27-inch Monitor</x:v>
      </x:c>
      <x:c r="I194" t="str">
        <x:v>Hardware</x:v>
      </x:c>
      <x:c r="J194" t="n">
        <x:v>4</x:v>
      </x:c>
      <x:c r="K194" s="12" t="n">
        <x:v>349</x:v>
      </x:c>
      <x:c r="L194" s="12" t="n">
        <x:v>235</x:v>
      </x:c>
      <x:c r="M194" s="12" t="n">
        <x:f>J194*K194</x:f>
        <x:v>1396</x:v>
      </x:c>
      <x:c r="N194" s="12" t="n">
        <x:f>J194*L194</x:f>
        <x:v>940</x:v>
      </x:c>
      <x:c r="O194" s="12" t="n">
        <x:f>M194-N194</x:f>
        <x:v>456</x:v>
      </x:c>
      <x:c r="P194" s="12" t="n">
        <x:v>18550</x:v>
      </x:c>
    </x:row>
    <x:row r="195">
      <x:c r="A195" t="str">
        <x:v>O0194</x:v>
      </x:c>
      <x:c r="B195" s="10" t="n">
        <x:v>46075</x:v>
      </x:c>
      <x:c r="C195" t="str">
        <x:v>C007</x:v>
      </x:c>
      <x:c r="D195" t="str">
        <x:v>Customer 07</x:v>
      </x:c>
      <x:c r="E195" t="str">
        <x:v>Corporate</x:v>
      </x:c>
      <x:c r="F195" t="str">
        <x:v>East</x:v>
      </x:c>
      <x:c r="G195" t="str">
        <x:v>P003</x:v>
      </x:c>
      <x:c r="H195" t="str">
        <x:v>Keyboard</x:v>
      </x:c>
      <x:c r="I195" t="str">
        <x:v>Accessories</x:v>
      </x:c>
      <x:c r="J195" t="n">
        <x:v>5</x:v>
      </x:c>
      <x:c r="K195" s="12" t="n">
        <x:v>62</x:v>
      </x:c>
      <x:c r="L195" s="12" t="n">
        <x:v>33</x:v>
      </x:c>
      <x:c r="M195" s="12" t="n">
        <x:f>J195*K195</x:f>
        <x:v>310</x:v>
      </x:c>
      <x:c r="N195" s="12" t="n">
        <x:f>J195*L195</x:f>
        <x:v>165</x:v>
      </x:c>
      <x:c r="O195" s="12" t="n">
        <x:f>M195-N195</x:f>
        <x:v>145</x:v>
      </x:c>
      <x:c r="P195" s="12" t="n">
        <x:v>14950</x:v>
      </x:c>
    </x:row>
    <x:row r="196">
      <x:c r="A196" t="str">
        <x:v>O0195</x:v>
      </x:c>
      <x:c r="B196" s="10" t="n">
        <x:v>46096</x:v>
      </x:c>
      <x:c r="C196" t="str">
        <x:v>C018</x:v>
      </x:c>
      <x:c r="D196" t="str">
        <x:v>Customer 18</x:v>
      </x:c>
      <x:c r="E196" t="str">
        <x:v>Small Business</x:v>
      </x:c>
      <x:c r="F196" t="str">
        <x:v>South</x:v>
      </x:c>
      <x:c r="G196" t="str">
        <x:v>P011</x:v>
      </x:c>
      <x:c r="H196" t="str">
        <x:v>Data Cleanup Service</x:v>
      </x:c>
      <x:c r="I196" t="str">
        <x:v>Services</x:v>
      </x:c>
      <x:c r="J196" t="n">
        <x:v>1</x:v>
      </x:c>
      <x:c r="K196" s="12" t="n">
        <x:v>320</x:v>
      </x:c>
      <x:c r="L196" s="12" t="n">
        <x:v>140</x:v>
      </x:c>
      <x:c r="M196" s="12" t="n">
        <x:f>J196*K196</x:f>
        <x:v>320</x:v>
      </x:c>
      <x:c r="N196" s="12" t="n">
        <x:f>J196*L196</x:f>
        <x:v>140</x:v>
      </x:c>
      <x:c r="O196" s="12" t="n">
        <x:f>M196-N196</x:f>
        <x:v>180</x:v>
      </x:c>
      <x:c r="P196" s="12" t="n">
        <x:v>13900</x:v>
      </x:c>
    </x:row>
    <x:row r="197">
      <x:c r="A197" t="str">
        <x:v>O0196</x:v>
      </x:c>
      <x:c r="B197" s="10" t="n">
        <x:v>46336</x:v>
      </x:c>
      <x:c r="C197" t="str">
        <x:v>C030</x:v>
      </x:c>
      <x:c r="D197" t="str">
        <x:v>Customer 30</x:v>
      </x:c>
      <x:c r="E197" t="str">
        <x:v>Small Business</x:v>
      </x:c>
      <x:c r="F197" t="str">
        <x:v>South</x:v>
      </x:c>
      <x:c r="G197" t="str">
        <x:v>P011</x:v>
      </x:c>
      <x:c r="H197" t="str">
        <x:v>Data Cleanup Service</x:v>
      </x:c>
      <x:c r="I197" t="str">
        <x:v>Services</x:v>
      </x:c>
      <x:c r="J197" t="n">
        <x:v>3</x:v>
      </x:c>
      <x:c r="K197" s="12" t="n">
        <x:v>320</x:v>
      </x:c>
      <x:c r="L197" s="12" t="n">
        <x:v>140</x:v>
      </x:c>
      <x:c r="M197" s="12" t="n">
        <x:f>J197*K197</x:f>
        <x:v>960</x:v>
      </x:c>
      <x:c r="N197" s="12" t="n">
        <x:f>J197*L197</x:f>
        <x:v>420</x:v>
      </x:c>
      <x:c r="O197" s="12" t="n">
        <x:f>M197-N197</x:f>
        <x:v>540</x:v>
      </x:c>
      <x:c r="P197" s="12" t="n">
        <x:v>17500</x:v>
      </x:c>
    </x:row>
    <x:row r="198">
      <x:c r="A198" t="str">
        <x:v>O0197</x:v>
      </x:c>
      <x:c r="B198" s="10" t="n">
        <x:v>46084</x:v>
      </x:c>
      <x:c r="C198" t="str">
        <x:v>C033</x:v>
      </x:c>
      <x:c r="D198" t="str">
        <x:v>Customer 33</x:v>
      </x:c>
      <x:c r="E198" t="str">
        <x:v>Student</x:v>
      </x:c>
      <x:c r="F198" t="str">
        <x:v>North</x:v>
      </x:c>
      <x:c r="G198" t="str">
        <x:v>P005</x:v>
      </x:c>
      <x:c r="H198" t="str">
        <x:v>24-inch Monitor</x:v>
      </x:c>
      <x:c r="I198" t="str">
        <x:v>Hardware</x:v>
      </x:c>
      <x:c r="J198" t="n">
        <x:v>3</x:v>
      </x:c>
      <x:c r="K198" s="12" t="n">
        <x:v>249</x:v>
      </x:c>
      <x:c r="L198" s="12" t="n">
        <x:v>169</x:v>
      </x:c>
      <x:c r="M198" s="12" t="n">
        <x:f>J198*K198</x:f>
        <x:v>747</x:v>
      </x:c>
      <x:c r="N198" s="12" t="n">
        <x:f>J198*L198</x:f>
        <x:v>507</x:v>
      </x:c>
      <x:c r="O198" s="12" t="n">
        <x:f>M198-N198</x:f>
        <x:v>240</x:v>
      </x:c>
      <x:c r="P198" s="12" t="n">
        <x:v>15900</x:v>
      </x:c>
    </x:row>
    <x:row r="199">
      <x:c r="A199" t="str">
        <x:v>O0198</x:v>
      </x:c>
      <x:c r="B199" s="10" t="n">
        <x:v>46222</x:v>
      </x:c>
      <x:c r="C199" t="str">
        <x:v>C031</x:v>
      </x:c>
      <x:c r="D199" t="str">
        <x:v>Customer 31</x:v>
      </x:c>
      <x:c r="E199" t="str">
        <x:v>Corporate</x:v>
      </x:c>
      <x:c r="F199" t="str">
        <x:v>East</x:v>
      </x:c>
      <x:c r="G199" t="str">
        <x:v>P003</x:v>
      </x:c>
      <x:c r="H199" t="str">
        <x:v>Keyboard</x:v>
      </x:c>
      <x:c r="I199" t="str">
        <x:v>Accessories</x:v>
      </x:c>
      <x:c r="J199" t="n">
        <x:v>1</x:v>
      </x:c>
      <x:c r="K199" s="12" t="n">
        <x:v>62</x:v>
      </x:c>
      <x:c r="L199" s="12" t="n">
        <x:v>33</x:v>
      </x:c>
      <x:c r="M199" s="12" t="n">
        <x:f>J199*K199</x:f>
        <x:v>62</x:v>
      </x:c>
      <x:c r="N199" s="12" t="n">
        <x:f>J199*L199</x:f>
        <x:v>33</x:v>
      </x:c>
      <x:c r="O199" s="12" t="n">
        <x:f>M199-N199</x:f>
        <x:v>29</x:v>
      </x:c>
      <x:c r="P199" s="12" t="n">
        <x:v>17200</x:v>
      </x:c>
    </x:row>
    <x:row r="200">
      <x:c r="A200" t="str">
        <x:v>O0199</x:v>
      </x:c>
      <x:c r="B200" s="10" t="n">
        <x:v>46090</x:v>
      </x:c>
      <x:c r="C200" t="str">
        <x:v>C029</x:v>
      </x:c>
      <x:c r="D200" t="str">
        <x:v>Customer 29</x:v>
      </x:c>
      <x:c r="E200" t="str">
        <x:v>Student</x:v>
      </x:c>
      <x:c r="F200" t="str">
        <x:v>North</x:v>
      </x:c>
      <x:c r="G200" t="str">
        <x:v>P012</x:v>
      </x:c>
      <x:c r="H200" t="str">
        <x:v>Dashboard Setup</x:v>
      </x:c>
      <x:c r="I200" t="str">
        <x:v>Services</x:v>
      </x:c>
      <x:c r="J200" t="n">
        <x:v>3</x:v>
      </x:c>
      <x:c r="K200" s="12" t="n">
        <x:v>450</x:v>
      </x:c>
      <x:c r="L200" s="12" t="n">
        <x:v>205</x:v>
      </x:c>
      <x:c r="M200" s="12" t="n">
        <x:f>J200*K200</x:f>
        <x:v>1350</x:v>
      </x:c>
      <x:c r="N200" s="12" t="n">
        <x:f>J200*L200</x:f>
        <x:v>615</x:v>
      </x:c>
      <x:c r="O200" s="12" t="n">
        <x:f>M200-N200</x:f>
        <x:v>735</x:v>
      </x:c>
      <x:c r="P200" s="12" t="n">
        <x:v>15900</x:v>
      </x:c>
    </x:row>
    <x:row r="201">
      <x:c r="A201" t="str">
        <x:v>O0200</x:v>
      </x:c>
      <x:c r="B201" s="10" t="n">
        <x:v>46038</x:v>
      </x:c>
      <x:c r="C201" t="str">
        <x:v>C005</x:v>
      </x:c>
      <x:c r="D201" t="str">
        <x:v>Customer 05</x:v>
      </x:c>
      <x:c r="E201" t="str">
        <x:v>Student</x:v>
      </x:c>
      <x:c r="F201" t="str">
        <x:v>North</x:v>
      </x:c>
      <x:c r="G201" t="str">
        <x:v>P010</x:v>
      </x:c>
      <x:c r="H201" t="str">
        <x:v>Support Package</x:v>
      </x:c>
      <x:c r="I201" t="str">
        <x:v>Services</x:v>
      </x:c>
      <x:c r="J201" t="n">
        <x:v>3</x:v>
      </x:c>
      <x:c r="K201" s="12" t="n">
        <x:v>240</x:v>
      </x:c>
      <x:c r="L201" s="12" t="n">
        <x:v>95</x:v>
      </x:c>
      <x:c r="M201" s="12" t="n">
        <x:f>J201*K201</x:f>
        <x:v>720</x:v>
      </x:c>
      <x:c r="N201" s="12" t="n">
        <x:f>J201*L201</x:f>
        <x:v>285</x:v>
      </x:c>
      <x:c r="O201" s="12" t="n">
        <x:f>M201-N201</x:f>
        <x:v>435</x:v>
      </x:c>
      <x:c r="P201" s="12" t="n">
        <x:v>15000</x:v>
      </x:c>
    </x:row>
    <x:row r="202">
      <x:c r="A202" t="str">
        <x:v>O0201</x:v>
      </x:c>
      <x:c r="B202" s="10" t="n">
        <x:v>46181</x:v>
      </x:c>
      <x:c r="C202" t="str">
        <x:v>C018</x:v>
      </x:c>
      <x:c r="D202" t="str">
        <x:v>Customer 18</x:v>
      </x:c>
      <x:c r="E202" t="str">
        <x:v>Small Business</x:v>
      </x:c>
      <x:c r="F202" t="str">
        <x:v>South</x:v>
      </x:c>
      <x:c r="G202" t="str">
        <x:v>P006</x:v>
      </x:c>
      <x:c r="H202" t="str">
        <x:v>27-inch Monitor</x:v>
      </x:c>
      <x:c r="I202" t="str">
        <x:v>Hardware</x:v>
      </x:c>
      <x:c r="J202" t="n">
        <x:v>1</x:v>
      </x:c>
      <x:c r="K202" s="12" t="n">
        <x:v>349</x:v>
      </x:c>
      <x:c r="L202" s="12" t="n">
        <x:v>235</x:v>
      </x:c>
      <x:c r="M202" s="12" t="n">
        <x:f>J202*K202</x:f>
        <x:v>349</x:v>
      </x:c>
      <x:c r="N202" s="12" t="n">
        <x:f>J202*L202</x:f>
        <x:v>235</x:v>
      </x:c>
      <x:c r="O202" s="12" t="n">
        <x:f>M202-N202</x:f>
        <x:v>114</x:v>
      </x:c>
      <x:c r="P202" s="12" t="n">
        <x:v>15250</x:v>
      </x:c>
    </x:row>
    <x:row r="203">
      <x:c r="A203" t="str">
        <x:v>O0202</x:v>
      </x:c>
      <x:c r="B203" s="10" t="n">
        <x:v>46380</x:v>
      </x:c>
      <x:c r="C203" t="str">
        <x:v>C013</x:v>
      </x:c>
      <x:c r="D203" t="str">
        <x:v>Customer 13</x:v>
      </x:c>
      <x:c r="E203" t="str">
        <x:v>Student</x:v>
      </x:c>
      <x:c r="F203" t="str">
        <x:v>North</x:v>
      </x:c>
      <x:c r="G203" t="str">
        <x:v>P011</x:v>
      </x:c>
      <x:c r="H203" t="str">
        <x:v>Data Cleanup Service</x:v>
      </x:c>
      <x:c r="I203" t="str">
        <x:v>Services</x:v>
      </x:c>
      <x:c r="J203" t="n">
        <x:v>5</x:v>
      </x:c>
      <x:c r="K203" s="12" t="n">
        <x:v>320</x:v>
      </x:c>
      <x:c r="L203" s="12" t="n">
        <x:v>140</x:v>
      </x:c>
      <x:c r="M203" s="12" t="n">
        <x:f>J203*K203</x:f>
        <x:v>1600</x:v>
      </x:c>
      <x:c r="N203" s="12" t="n">
        <x:f>J203*L203</x:f>
        <x:v>700</x:v>
      </x:c>
      <x:c r="O203" s="12" t="n">
        <x:f>M203-N203</x:f>
        <x:v>900</x:v>
      </x:c>
      <x:c r="P203" s="12" t="n">
        <x:v>19950</x:v>
      </x:c>
    </x:row>
    <x:row r="204">
      <x:c r="A204" t="str">
        <x:v>O0203</x:v>
      </x:c>
      <x:c r="B204" s="10" t="n">
        <x:v>46175</x:v>
      </x:c>
      <x:c r="C204" t="str">
        <x:v>C004</x:v>
      </x:c>
      <x:c r="D204" t="str">
        <x:v>Customer 04</x:v>
      </x:c>
      <x:c r="E204" t="str">
        <x:v>Community</x:v>
      </x:c>
      <x:c r="F204" t="str">
        <x:v>West</x:v>
      </x:c>
      <x:c r="G204" t="str">
        <x:v>P008</x:v>
      </x:c>
      <x:c r="H204" t="str">
        <x:v>Headset</x:v>
      </x:c>
      <x:c r="I204" t="str">
        <x:v>Hardware</x:v>
      </x:c>
      <x:c r="J204" t="n">
        <x:v>5</x:v>
      </x:c>
      <x:c r="K204" s="12" t="n">
        <x:v>129</x:v>
      </x:c>
      <x:c r="L204" s="12" t="n">
        <x:v>72</x:v>
      </x:c>
      <x:c r="M204" s="12" t="n">
        <x:f>J204*K204</x:f>
        <x:v>645</x:v>
      </x:c>
      <x:c r="N204" s="12" t="n">
        <x:f>J204*L204</x:f>
        <x:v>360</x:v>
      </x:c>
      <x:c r="O204" s="12" t="n">
        <x:f>M204-N204</x:f>
        <x:v>285</x:v>
      </x:c>
      <x:c r="P204" s="12" t="n">
        <x:v>16250</x:v>
      </x:c>
    </x:row>
    <x:row r="205">
      <x:c r="A205" t="str">
        <x:v>O0204</x:v>
      </x:c>
      <x:c r="B205" s="10" t="n">
        <x:v>46102</x:v>
      </x:c>
      <x:c r="C205" t="str">
        <x:v>C021</x:v>
      </x:c>
      <x:c r="D205" t="str">
        <x:v>Customer 21</x:v>
      </x:c>
      <x:c r="E205" t="str">
        <x:v>Student</x:v>
      </x:c>
      <x:c r="F205" t="str">
        <x:v>North</x:v>
      </x:c>
      <x:c r="G205" t="str">
        <x:v>P007</x:v>
      </x:c>
      <x:c r="H205" t="str">
        <x:v>Webcam</x:v>
      </x:c>
      <x:c r="I205" t="str">
        <x:v>Hardware</x:v>
      </x:c>
      <x:c r="J205" t="n">
        <x:v>4</x:v>
      </x:c>
      <x:c r="K205" s="12" t="n">
        <x:v>109</x:v>
      </x:c>
      <x:c r="L205" s="12" t="n">
        <x:v>61</x:v>
      </x:c>
      <x:c r="M205" s="12" t="n">
        <x:f>J205*K205</x:f>
        <x:v>436</x:v>
      </x:c>
      <x:c r="N205" s="12" t="n">
        <x:f>J205*L205</x:f>
        <x:v>244</x:v>
      </x:c>
      <x:c r="O205" s="12" t="n">
        <x:f>M205-N205</x:f>
        <x:v>192</x:v>
      </x:c>
      <x:c r="P205" s="12" t="n">
        <x:v>15900</x:v>
      </x:c>
    </x:row>
    <x:row r="206">
      <x:c r="A206" t="str">
        <x:v>O0205</x:v>
      </x:c>
      <x:c r="B206" s="10" t="n">
        <x:v>46091</x:v>
      </x:c>
      <x:c r="C206" t="str">
        <x:v>C016</x:v>
      </x:c>
      <x:c r="D206" t="str">
        <x:v>Customer 16</x:v>
      </x:c>
      <x:c r="E206" t="str">
        <x:v>Community</x:v>
      </x:c>
      <x:c r="F206" t="str">
        <x:v>West</x:v>
      </x:c>
      <x:c r="G206" t="str">
        <x:v>P009</x:v>
      </x:c>
      <x:c r="H206" t="str">
        <x:v>Cloud Starter Plan</x:v>
      </x:c>
      <x:c r="I206" t="str">
        <x:v>Services</x:v>
      </x:c>
      <x:c r="J206" t="n">
        <x:v>1</x:v>
      </x:c>
      <x:c r="K206" s="12" t="n">
        <x:v>180</x:v>
      </x:c>
      <x:c r="L206" s="12" t="n">
        <x:v>65</x:v>
      </x:c>
      <x:c r="M206" s="12" t="n">
        <x:f>J206*K206</x:f>
        <x:v>180</x:v>
      </x:c>
      <x:c r="N206" s="12" t="n">
        <x:f>J206*L206</x:f>
        <x:v>65</x:v>
      </x:c>
      <x:c r="O206" s="12" t="n">
        <x:f>M206-N206</x:f>
        <x:v>115</x:v>
      </x:c>
      <x:c r="P206" s="12" t="n">
        <x:v>14900</x:v>
      </x:c>
    </x:row>
    <x:row r="207">
      <x:c r="A207" t="str">
        <x:v>O0206</x:v>
      </x:c>
      <x:c r="B207" s="10" t="n">
        <x:v>46328</x:v>
      </x:c>
      <x:c r="C207" t="str">
        <x:v>C038</x:v>
      </x:c>
      <x:c r="D207" t="str">
        <x:v>Customer 38</x:v>
      </x:c>
      <x:c r="E207" t="str">
        <x:v>Small Business</x:v>
      </x:c>
      <x:c r="F207" t="str">
        <x:v>South</x:v>
      </x:c>
      <x:c r="G207" t="str">
        <x:v>P012</x:v>
      </x:c>
      <x:c r="H207" t="str">
        <x:v>Dashboard Setup</x:v>
      </x:c>
      <x:c r="I207" t="str">
        <x:v>Services</x:v>
      </x:c>
      <x:c r="J207" t="n">
        <x:v>1</x:v>
      </x:c>
      <x:c r="K207" s="12" t="n">
        <x:v>450</x:v>
      </x:c>
      <x:c r="L207" s="12" t="n">
        <x:v>205</x:v>
      </x:c>
      <x:c r="M207" s="12" t="n">
        <x:f>J207*K207</x:f>
        <x:v>450</x:v>
      </x:c>
      <x:c r="N207" s="12" t="n">
        <x:f>J207*L207</x:f>
        <x:v>205</x:v>
      </x:c>
      <x:c r="O207" s="12" t="n">
        <x:f>M207-N207</x:f>
        <x:v>245</x:v>
      </x:c>
      <x:c r="P207" s="12" t="n">
        <x:v>17500</x:v>
      </x:c>
    </x:row>
    <x:row r="208">
      <x:c r="A208" t="str">
        <x:v>O0207</x:v>
      </x:c>
      <x:c r="B208" s="10" t="n">
        <x:v>46320</x:v>
      </x:c>
      <x:c r="C208" t="str">
        <x:v>C008</x:v>
      </x:c>
      <x:c r="D208" t="str">
        <x:v>Customer 08</x:v>
      </x:c>
      <x:c r="E208" t="str">
        <x:v>Community</x:v>
      </x:c>
      <x:c r="F208" t="str">
        <x:v>West</x:v>
      </x:c>
      <x:c r="G208" t="str">
        <x:v>P009</x:v>
      </x:c>
      <x:c r="H208" t="str">
        <x:v>Cloud Starter Plan</x:v>
      </x:c>
      <x:c r="I208" t="str">
        <x:v>Services</x:v>
      </x:c>
      <x:c r="J208" t="n">
        <x:v>4</x:v>
      </x:c>
      <x:c r="K208" s="12" t="n">
        <x:v>180</x:v>
      </x:c>
      <x:c r="L208" s="12" t="n">
        <x:v>65</x:v>
      </x:c>
      <x:c r="M208" s="12" t="n">
        <x:f>J208*K208</x:f>
        <x:v>720</x:v>
      </x:c>
      <x:c r="N208" s="12" t="n">
        <x:f>J208*L208</x:f>
        <x:v>260</x:v>
      </x:c>
      <x:c r="O208" s="12" t="n">
        <x:f>M208-N208</x:f>
        <x:v>460</x:v>
      </x:c>
      <x:c r="P208" s="12" t="n">
        <x:v>18050</x:v>
      </x:c>
    </x:row>
    <x:row r="209">
      <x:c r="A209" t="str">
        <x:v>O0208</x:v>
      </x:c>
      <x:c r="B209" s="10" t="n">
        <x:v>46065</x:v>
      </x:c>
      <x:c r="C209" t="str">
        <x:v>C030</x:v>
      </x:c>
      <x:c r="D209" t="str">
        <x:v>Customer 30</x:v>
      </x:c>
      <x:c r="E209" t="str">
        <x:v>Small Business</x:v>
      </x:c>
      <x:c r="F209" t="str">
        <x:v>South</x:v>
      </x:c>
      <x:c r="G209" t="str">
        <x:v>P012</x:v>
      </x:c>
      <x:c r="H209" t="str">
        <x:v>Dashboard Setup</x:v>
      </x:c>
      <x:c r="I209" t="str">
        <x:v>Services</x:v>
      </x:c>
      <x:c r="J209" t="n">
        <x:v>4</x:v>
      </x:c>
      <x:c r="K209" s="12" t="n">
        <x:v>450</x:v>
      </x:c>
      <x:c r="L209" s="12" t="n">
        <x:v>205</x:v>
      </x:c>
      <x:c r="M209" s="12" t="n">
        <x:f>J209*K209</x:f>
        <x:v>1800</x:v>
      </x:c>
      <x:c r="N209" s="12" t="n">
        <x:f>J209*L209</x:f>
        <x:v>820</x:v>
      </x:c>
      <x:c r="O209" s="12" t="n">
        <x:f>M209-N209</x:f>
        <x:v>980</x:v>
      </x:c>
      <x:c r="P209" s="12" t="n">
        <x:v>13450</x:v>
      </x:c>
    </x:row>
    <x:row r="210">
      <x:c r="A210" t="str">
        <x:v>O0209</x:v>
      </x:c>
      <x:c r="B210" s="10" t="n">
        <x:v>46053</x:v>
      </x:c>
      <x:c r="C210" t="str">
        <x:v>C008</x:v>
      </x:c>
      <x:c r="D210" t="str">
        <x:v>Customer 08</x:v>
      </x:c>
      <x:c r="E210" t="str">
        <x:v>Community</x:v>
      </x:c>
      <x:c r="F210" t="str">
        <x:v>West</x:v>
      </x:c>
      <x:c r="G210" t="str">
        <x:v>P004</x:v>
      </x:c>
      <x:c r="H210" t="str">
        <x:v>USB-C Hub</x:v>
      </x:c>
      <x:c r="I210" t="str">
        <x:v>Accessories</x:v>
      </x:c>
      <x:c r="J210" t="n">
        <x:v>3</x:v>
      </x:c>
      <x:c r="K210" s="12" t="n">
        <x:v>72.68</x:v>
      </x:c>
      <x:c r="L210" s="12" t="n">
        <x:v>44</x:v>
      </x:c>
      <x:c r="M210" s="12" t="n">
        <x:f>J210*K210</x:f>
        <x:v>218.04000000000002</x:v>
      </x:c>
      <x:c r="N210" s="12" t="n">
        <x:f>J210*L210</x:f>
        <x:v>132</x:v>
      </x:c>
      <x:c r="O210" s="12" t="n">
        <x:f>M210-N210</x:f>
        <x:v>86.04000000000002</x:v>
      </x:c>
      <x:c r="P210" s="12" t="n">
        <x:v>14000</x:v>
      </x:c>
    </x:row>
    <x:row r="211">
      <x:c r="A211" t="str">
        <x:v>O0210</x:v>
      </x:c>
      <x:c r="B211" s="10" t="n">
        <x:v>46042</x:v>
      </x:c>
      <x:c r="C211" t="str">
        <x:v>C016</x:v>
      </x:c>
      <x:c r="D211" t="str">
        <x:v>Customer 16</x:v>
      </x:c>
      <x:c r="E211" t="str">
        <x:v>Community</x:v>
      </x:c>
      <x:c r="F211" t="str">
        <x:v>West</x:v>
      </x:c>
      <x:c r="G211" t="str">
        <x:v>P001</x:v>
      </x:c>
      <x:c r="H211" t="str">
        <x:v>Laptop Stand</x:v>
      </x:c>
      <x:c r="I211" t="str">
        <x:v>Accessories</x:v>
      </x:c>
      <x:c r="J211" t="n">
        <x:v>5</x:v>
      </x:c>
      <x:c r="K211" s="12" t="n">
        <x:v>45</x:v>
      </x:c>
      <x:c r="L211" s="12" t="n">
        <x:v>23</x:v>
      </x:c>
      <x:c r="M211" s="12" t="n">
        <x:f>J211*K211</x:f>
        <x:v>225</x:v>
      </x:c>
      <x:c r="N211" s="12" t="n">
        <x:f>J211*L211</x:f>
        <x:v>115</x:v>
      </x:c>
      <x:c r="O211" s="12" t="n">
        <x:f>M211-N211</x:f>
        <x:v>110</x:v>
      </x:c>
      <x:c r="P211" s="12" t="n">
        <x:v>14000</x:v>
      </x:c>
    </x:row>
    <x:row r="212">
      <x:c r="A212" t="str">
        <x:v>O0211</x:v>
      </x:c>
      <x:c r="B212" s="10" t="n">
        <x:v>46031</x:v>
      </x:c>
      <x:c r="C212" t="str">
        <x:v>C023</x:v>
      </x:c>
      <x:c r="D212" t="str">
        <x:v>Customer 23</x:v>
      </x:c>
      <x:c r="E212" t="str">
        <x:v>Corporate</x:v>
      </x:c>
      <x:c r="F212" t="str">
        <x:v>East</x:v>
      </x:c>
      <x:c r="G212" t="str">
        <x:v>P010</x:v>
      </x:c>
      <x:c r="H212" t="str">
        <x:v>Support Package</x:v>
      </x:c>
      <x:c r="I212" t="str">
        <x:v>Services</x:v>
      </x:c>
      <x:c r="J212" t="n">
        <x:v>5</x:v>
      </x:c>
      <x:c r="K212" s="12" t="n">
        <x:v>240</x:v>
      </x:c>
      <x:c r="L212" s="12" t="n">
        <x:v>95</x:v>
      </x:c>
      <x:c r="M212" s="12" t="n">
        <x:f>J212*K212</x:f>
        <x:v>1200</x:v>
      </x:c>
      <x:c r="N212" s="12" t="n">
        <x:f>J212*L212</x:f>
        <x:v>475</x:v>
      </x:c>
      <x:c r="O212" s="12" t="n">
        <x:f>M212-N212</x:f>
        <x:v>725</x:v>
      </x:c>
      <x:c r="P212" s="12" t="n">
        <x:v>14500</x:v>
      </x:c>
    </x:row>
    <x:row r="213">
      <x:c r="A213" t="str">
        <x:v>O0212</x:v>
      </x:c>
      <x:c r="B213" s="10" t="n">
        <x:v>46154</x:v>
      </x:c>
      <x:c r="C213" t="str">
        <x:v>C022</x:v>
      </x:c>
      <x:c r="D213" t="str">
        <x:v>Customer 22</x:v>
      </x:c>
      <x:c r="E213" t="str">
        <x:v>Small Business</x:v>
      </x:c>
      <x:c r="F213" t="str">
        <x:v>South</x:v>
      </x:c>
      <x:c r="G213" t="str">
        <x:v>P006</x:v>
      </x:c>
      <x:c r="H213" t="str">
        <x:v>27-inch Monitor</x:v>
      </x:c>
      <x:c r="I213" t="str">
        <x:v>Hardware</x:v>
      </x:c>
      <x:c r="J213" t="n">
        <x:v>4</x:v>
      </x:c>
      <x:c r="K213" s="12" t="n">
        <x:v>321.08</x:v>
      </x:c>
      <x:c r="L213" s="12" t="n">
        <x:v>235</x:v>
      </x:c>
      <x:c r="M213" s="12" t="n">
        <x:f>J213*K213</x:f>
        <x:v>1284.32</x:v>
      </x:c>
      <x:c r="N213" s="12" t="n">
        <x:f>J213*L213</x:f>
        <x:v>940</x:v>
      </x:c>
      <x:c r="O213" s="12" t="n">
        <x:f>M213-N213</x:f>
        <x:v>344.31999999999994</x:v>
      </x:c>
      <x:c r="P213" s="12" t="n">
        <x:v>14800</x:v>
      </x:c>
    </x:row>
    <x:row r="214">
      <x:c r="A214" t="str">
        <x:v>O0213</x:v>
      </x:c>
      <x:c r="B214" s="10" t="n">
        <x:v>46363</x:v>
      </x:c>
      <x:c r="C214" t="str">
        <x:v>C010</x:v>
      </x:c>
      <x:c r="D214" t="str">
        <x:v>Customer 10</x:v>
      </x:c>
      <x:c r="E214" t="str">
        <x:v>Small Business</x:v>
      </x:c>
      <x:c r="F214" t="str">
        <x:v>South</x:v>
      </x:c>
      <x:c r="G214" t="str">
        <x:v>P005</x:v>
      </x:c>
      <x:c r="H214" t="str">
        <x:v>24-inch Monitor</x:v>
      </x:c>
      <x:c r="I214" t="str">
        <x:v>Hardware</x:v>
      </x:c>
      <x:c r="J214" t="n">
        <x:v>2</x:v>
      </x:c>
      <x:c r="K214" s="12" t="n">
        <x:v>249</x:v>
      </x:c>
      <x:c r="L214" s="12" t="n">
        <x:v>169</x:v>
      </x:c>
      <x:c r="M214" s="12" t="n">
        <x:f>J214*K214</x:f>
        <x:v>498</x:v>
      </x:c>
      <x:c r="N214" s="12" t="n">
        <x:f>J214*L214</x:f>
        <x:v>338</x:v>
      </x:c>
      <x:c r="O214" s="12" t="n">
        <x:f>M214-N214</x:f>
        <x:v>160</x:v>
      </x:c>
      <x:c r="P214" s="12" t="n">
        <x:v>17950</x:v>
      </x:c>
    </x:row>
    <x:row r="215">
      <x:c r="A215" t="str">
        <x:v>O0214</x:v>
      </x:c>
      <x:c r="B215" s="10" t="n">
        <x:v>46091</x:v>
      </x:c>
      <x:c r="C215" t="str">
        <x:v>C027</x:v>
      </x:c>
      <x:c r="D215" t="str">
        <x:v>Customer 27</x:v>
      </x:c>
      <x:c r="E215" t="str">
        <x:v>Corporate</x:v>
      </x:c>
      <x:c r="F215" t="str">
        <x:v>East</x:v>
      </x:c>
      <x:c r="G215" t="str">
        <x:v>P006</x:v>
      </x:c>
      <x:c r="H215" t="str">
        <x:v>27-inch Monitor</x:v>
      </x:c>
      <x:c r="I215" t="str">
        <x:v>Hardware</x:v>
      </x:c>
      <x:c r="J215" t="n">
        <x:v>4</x:v>
      </x:c>
      <x:c r="K215" s="12" t="n">
        <x:v>321.08</x:v>
      </x:c>
      <x:c r="L215" s="12" t="n">
        <x:v>235</x:v>
      </x:c>
      <x:c r="M215" s="12" t="n">
        <x:f>J215*K215</x:f>
        <x:v>1284.32</x:v>
      </x:c>
      <x:c r="N215" s="12" t="n">
        <x:f>J215*L215</x:f>
        <x:v>940</x:v>
      </x:c>
      <x:c r="O215" s="12" t="n">
        <x:f>M215-N215</x:f>
        <x:v>344.31999999999994</x:v>
      </x:c>
      <x:c r="P215" s="12" t="n">
        <x:v>15400</x:v>
      </x:c>
    </x:row>
    <x:row r="216">
      <x:c r="A216" t="str">
        <x:v>O0215</x:v>
      </x:c>
      <x:c r="B216" s="10" t="n">
        <x:v>46105</x:v>
      </x:c>
      <x:c r="C216" t="str">
        <x:v>C010</x:v>
      </x:c>
      <x:c r="D216" t="str">
        <x:v>Customer 10</x:v>
      </x:c>
      <x:c r="E216" t="str">
        <x:v>Small Business</x:v>
      </x:c>
      <x:c r="F216" t="str">
        <x:v>South</x:v>
      </x:c>
      <x:c r="G216" t="str">
        <x:v>P003</x:v>
      </x:c>
      <x:c r="H216" t="str">
        <x:v>Keyboard</x:v>
      </x:c>
      <x:c r="I216" t="str">
        <x:v>Accessories</x:v>
      </x:c>
      <x:c r="J216" t="n">
        <x:v>5</x:v>
      </x:c>
      <x:c r="K216" s="12" t="n">
        <x:v>62</x:v>
      </x:c>
      <x:c r="L216" s="12" t="n">
        <x:v>33</x:v>
      </x:c>
      <x:c r="M216" s="12" t="n">
        <x:f>J216*K216</x:f>
        <x:v>310</x:v>
      </x:c>
      <x:c r="N216" s="12" t="n">
        <x:f>J216*L216</x:f>
        <x:v>165</x:v>
      </x:c>
      <x:c r="O216" s="12" t="n">
        <x:f>M216-N216</x:f>
        <x:v>145</x:v>
      </x:c>
      <x:c r="P216" s="12" t="n">
        <x:v>13900</x:v>
      </x:c>
    </x:row>
    <x:row r="217">
      <x:c r="A217" t="str">
        <x:v>O0216</x:v>
      </x:c>
      <x:c r="B217" s="10" t="n">
        <x:v>46214</x:v>
      </x:c>
      <x:c r="C217" t="str">
        <x:v>C036</x:v>
      </x:c>
      <x:c r="D217" t="str">
        <x:v>Customer 36</x:v>
      </x:c>
      <x:c r="E217" t="str">
        <x:v>Community</x:v>
      </x:c>
      <x:c r="F217" t="str">
        <x:v>West</x:v>
      </x:c>
      <x:c r="G217" t="str">
        <x:v>P011</x:v>
      </x:c>
      <x:c r="H217" t="str">
        <x:v>Data Cleanup Service</x:v>
      </x:c>
      <x:c r="I217" t="str">
        <x:v>Services</x:v>
      </x:c>
      <x:c r="J217" t="n">
        <x:v>1</x:v>
      </x:c>
      <x:c r="K217" s="12" t="n">
        <x:v>320</x:v>
      </x:c>
      <x:c r="L217" s="12" t="n">
        <x:v>140</x:v>
      </x:c>
      <x:c r="M217" s="12" t="n">
        <x:f>J217*K217</x:f>
        <x:v>320</x:v>
      </x:c>
      <x:c r="N217" s="12" t="n">
        <x:f>J217*L217</x:f>
        <x:v>140</x:v>
      </x:c>
      <x:c r="O217" s="12" t="n">
        <x:f>M217-N217</x:f>
        <x:v>180</x:v>
      </x:c>
      <x:c r="P217" s="12" t="n">
        <x:v>16700</x:v>
      </x:c>
    </x:row>
    <x:row r="218">
      <x:c r="A218" t="str">
        <x:v>O0217</x:v>
      </x:c>
      <x:c r="B218" s="10" t="n">
        <x:v>46301</x:v>
      </x:c>
      <x:c r="C218" t="str">
        <x:v>C037</x:v>
      </x:c>
      <x:c r="D218" t="str">
        <x:v>Customer 37</x:v>
      </x:c>
      <x:c r="E218" t="str">
        <x:v>Student</x:v>
      </x:c>
      <x:c r="F218" t="str">
        <x:v>North</x:v>
      </x:c>
      <x:c r="G218" t="str">
        <x:v>P003</x:v>
      </x:c>
      <x:c r="H218" t="str">
        <x:v>Keyboard</x:v>
      </x:c>
      <x:c r="I218" t="str">
        <x:v>Accessories</x:v>
      </x:c>
      <x:c r="J218" t="n">
        <x:v>2</x:v>
      </x:c>
      <x:c r="K218" s="12" t="n">
        <x:v>62</x:v>
      </x:c>
      <x:c r="L218" s="12" t="n">
        <x:v>33</x:v>
      </x:c>
      <x:c r="M218" s="12" t="n">
        <x:f>J218*K218</x:f>
        <x:v>124</x:v>
      </x:c>
      <x:c r="N218" s="12" t="n">
        <x:f>J218*L218</x:f>
        <x:v>66</x:v>
      </x:c>
      <x:c r="O218" s="12" t="n">
        <x:f>M218-N218</x:f>
        <x:v>58</x:v>
      </x:c>
      <x:c r="P218" s="12" t="n">
        <x:v>19050</x:v>
      </x:c>
    </x:row>
    <x:row r="219">
      <x:c r="A219" t="str">
        <x:v>O0218</x:v>
      </x:c>
      <x:c r="B219" s="10" t="n">
        <x:v>46242</x:v>
      </x:c>
      <x:c r="C219" t="str">
        <x:v>C013</x:v>
      </x:c>
      <x:c r="D219" t="str">
        <x:v>Customer 13</x:v>
      </x:c>
      <x:c r="E219" t="str">
        <x:v>Student</x:v>
      </x:c>
      <x:c r="F219" t="str">
        <x:v>North</x:v>
      </x:c>
      <x:c r="G219" t="str">
        <x:v>P004</x:v>
      </x:c>
      <x:c r="H219" t="str">
        <x:v>USB-C Hub</x:v>
      </x:c>
      <x:c r="I219" t="str">
        <x:v>Accessories</x:v>
      </x:c>
      <x:c r="J219" t="n">
        <x:v>3</x:v>
      </x:c>
      <x:c r="K219" s="12" t="n">
        <x:v>79</x:v>
      </x:c>
      <x:c r="L219" s="12" t="n">
        <x:v>44</x:v>
      </x:c>
      <x:c r="M219" s="12" t="n">
        <x:f>J219*K219</x:f>
        <x:v>237</x:v>
      </x:c>
      <x:c r="N219" s="12" t="n">
        <x:f>J219*L219</x:f>
        <x:v>132</x:v>
      </x:c>
      <x:c r="O219" s="12" t="n">
        <x:f>M219-N219</x:f>
        <x:v>105</x:v>
      </x:c>
      <x:c r="P219" s="12" t="n">
        <x:v>18150</x:v>
      </x:c>
    </x:row>
    <x:row r="220">
      <x:c r="A220" t="str">
        <x:v>O0219</x:v>
      </x:c>
      <x:c r="B220" s="10" t="n">
        <x:v>46263</x:v>
      </x:c>
      <x:c r="C220" t="str">
        <x:v>C007</x:v>
      </x:c>
      <x:c r="D220" t="str">
        <x:v>Customer 07</x:v>
      </x:c>
      <x:c r="E220" t="str">
        <x:v>Corporate</x:v>
      </x:c>
      <x:c r="F220" t="str">
        <x:v>East</x:v>
      </x:c>
      <x:c r="G220" t="str">
        <x:v>P008</x:v>
      </x:c>
      <x:c r="H220" t="str">
        <x:v>Headset</x:v>
      </x:c>
      <x:c r="I220" t="str">
        <x:v>Hardware</x:v>
      </x:c>
      <x:c r="J220" t="n">
        <x:v>5</x:v>
      </x:c>
      <x:c r="K220" s="12" t="n">
        <x:v>118.68</x:v>
      </x:c>
      <x:c r="L220" s="12" t="n">
        <x:v>72</x:v>
      </x:c>
      <x:c r="M220" s="12" t="n">
        <x:f>J220*K220</x:f>
        <x:v>593.4000000000001</x:v>
      </x:c>
      <x:c r="N220" s="12" t="n">
        <x:f>J220*L220</x:f>
        <x:v>360</x:v>
      </x:c>
      <x:c r="O220" s="12" t="n">
        <x:f>M220-N220</x:f>
        <x:v>233.4000000000001</x:v>
      </x:c>
      <x:c r="P220" s="12" t="n">
        <x:v>17650</x:v>
      </x:c>
    </x:row>
    <x:row r="221">
      <x:c r="A221" t="str">
        <x:v>O0220</x:v>
      </x:c>
      <x:c r="B221" s="10" t="n">
        <x:v>46313</x:v>
      </x:c>
      <x:c r="C221" t="str">
        <x:v>C033</x:v>
      </x:c>
      <x:c r="D221" t="str">
        <x:v>Customer 33</x:v>
      </x:c>
      <x:c r="E221" t="str">
        <x:v>Student</x:v>
      </x:c>
      <x:c r="F221" t="str">
        <x:v>North</x:v>
      </x:c>
      <x:c r="G221" t="str">
        <x:v>P002</x:v>
      </x:c>
      <x:c r="H221" t="str">
        <x:v>Wireless Mouse</x:v>
      </x:c>
      <x:c r="I221" t="str">
        <x:v>Accessories</x:v>
      </x:c>
      <x:c r="J221" t="n">
        <x:v>1</x:v>
      </x:c>
      <x:c r="K221" s="12" t="n">
        <x:v>38</x:v>
      </x:c>
      <x:c r="L221" s="12" t="n">
        <x:v>18</x:v>
      </x:c>
      <x:c r="M221" s="12" t="n">
        <x:f>J221*K221</x:f>
        <x:v>38</x:v>
      </x:c>
      <x:c r="N221" s="12" t="n">
        <x:f>J221*L221</x:f>
        <x:v>18</x:v>
      </x:c>
      <x:c r="O221" s="12" t="n">
        <x:f>M221-N221</x:f>
        <x:v>20</x:v>
      </x:c>
      <x:c r="P221" s="12" t="n">
        <x:v>19050</x:v>
      </x:c>
    </x:row>
    <x:row r="222">
      <x:c r="A222" t="str">
        <x:v>O0221</x:v>
      </x:c>
      <x:c r="B222" s="10" t="n">
        <x:v>46042</x:v>
      </x:c>
      <x:c r="C222" t="str">
        <x:v>C024</x:v>
      </x:c>
      <x:c r="D222" t="str">
        <x:v>Customer 24</x:v>
      </x:c>
      <x:c r="E222" t="str">
        <x:v>Community</x:v>
      </x:c>
      <x:c r="F222" t="str">
        <x:v>West</x:v>
      </x:c>
      <x:c r="G222" t="str">
        <x:v>P006</x:v>
      </x:c>
      <x:c r="H222" t="str">
        <x:v>27-inch Monitor</x:v>
      </x:c>
      <x:c r="I222" t="str">
        <x:v>Hardware</x:v>
      </x:c>
      <x:c r="J222" t="n">
        <x:v>4</x:v>
      </x:c>
      <x:c r="K222" s="12" t="n">
        <x:v>321.08</x:v>
      </x:c>
      <x:c r="L222" s="12" t="n">
        <x:v>235</x:v>
      </x:c>
      <x:c r="M222" s="12" t="n">
        <x:f>J222*K222</x:f>
        <x:v>1284.32</x:v>
      </x:c>
      <x:c r="N222" s="12" t="n">
        <x:f>J222*L222</x:f>
        <x:v>940</x:v>
      </x:c>
      <x:c r="O222" s="12" t="n">
        <x:f>M222-N222</x:f>
        <x:v>344.31999999999994</x:v>
      </x:c>
      <x:c r="P222" s="12" t="n">
        <x:v>14000</x:v>
      </x:c>
    </x:row>
    <x:row r="223">
      <x:c r="A223" t="str">
        <x:v>O0222</x:v>
      </x:c>
      <x:c r="B223" s="10" t="n">
        <x:v>46063</x:v>
      </x:c>
      <x:c r="C223" t="str">
        <x:v>C034</x:v>
      </x:c>
      <x:c r="D223" t="str">
        <x:v>Customer 34</x:v>
      </x:c>
      <x:c r="E223" t="str">
        <x:v>Small Business</x:v>
      </x:c>
      <x:c r="F223" t="str">
        <x:v>South</x:v>
      </x:c>
      <x:c r="G223" t="str">
        <x:v>P009</x:v>
      </x:c>
      <x:c r="H223" t="str">
        <x:v>Cloud Starter Plan</x:v>
      </x:c>
      <x:c r="I223" t="str">
        <x:v>Services</x:v>
      </x:c>
      <x:c r="J223" t="n">
        <x:v>1</x:v>
      </x:c>
      <x:c r="K223" s="12" t="n">
        <x:v>165.6</x:v>
      </x:c>
      <x:c r="L223" s="12" t="n">
        <x:v>65</x:v>
      </x:c>
      <x:c r="M223" s="12" t="n">
        <x:f>J223*K223</x:f>
        <x:v>165.6</x:v>
      </x:c>
      <x:c r="N223" s="12" t="n">
        <x:f>J223*L223</x:f>
        <x:v>65</x:v>
      </x:c>
      <x:c r="O223" s="12" t="n">
        <x:f>M223-N223</x:f>
        <x:v>100.6</x:v>
      </x:c>
      <x:c r="P223" s="12" t="n">
        <x:v>13450</x:v>
      </x:c>
    </x:row>
    <x:row r="224">
      <x:c r="A224" t="str">
        <x:v>O0223</x:v>
      </x:c>
      <x:c r="B224" s="10" t="n">
        <x:v>46249</x:v>
      </x:c>
      <x:c r="C224" t="str">
        <x:v>C006</x:v>
      </x:c>
      <x:c r="D224" t="str">
        <x:v>Customer 06</x:v>
      </x:c>
      <x:c r="E224" t="str">
        <x:v>Small Business</x:v>
      </x:c>
      <x:c r="F224" t="str">
        <x:v>South</x:v>
      </x:c>
      <x:c r="G224" t="str">
        <x:v>P003</x:v>
      </x:c>
      <x:c r="H224" t="str">
        <x:v>Keyboard</x:v>
      </x:c>
      <x:c r="I224" t="str">
        <x:v>Accessories</x:v>
      </x:c>
      <x:c r="J224" t="n">
        <x:v>4</x:v>
      </x:c>
      <x:c r="K224" s="12" t="n">
        <x:v>62</x:v>
      </x:c>
      <x:c r="L224" s="12" t="n">
        <x:v>33</x:v>
      </x:c>
      <x:c r="M224" s="12" t="n">
        <x:f>J224*K224</x:f>
        <x:v>248</x:v>
      </x:c>
      <x:c r="N224" s="12" t="n">
        <x:f>J224*L224</x:f>
        <x:v>132</x:v>
      </x:c>
      <x:c r="O224" s="12" t="n">
        <x:f>M224-N224</x:f>
        <x:v>116</x:v>
      </x:c>
      <x:c r="P224" s="12" t="n">
        <x:v>16150</x:v>
      </x:c>
    </x:row>
    <x:row r="225">
      <x:c r="A225" t="str">
        <x:v>O0224</x:v>
      </x:c>
      <x:c r="B225" s="10" t="n">
        <x:v>46354</x:v>
      </x:c>
      <x:c r="C225" t="str">
        <x:v>C006</x:v>
      </x:c>
      <x:c r="D225" t="str">
        <x:v>Customer 06</x:v>
      </x:c>
      <x:c r="E225" t="str">
        <x:v>Small Business</x:v>
      </x:c>
      <x:c r="F225" t="str">
        <x:v>South</x:v>
      </x:c>
      <x:c r="G225" t="str">
        <x:v>P006</x:v>
      </x:c>
      <x:c r="H225" t="str">
        <x:v>27-inch Monitor</x:v>
      </x:c>
      <x:c r="I225" t="str">
        <x:v>Hardware</x:v>
      </x:c>
      <x:c r="J225" t="n">
        <x:v>2</x:v>
      </x:c>
      <x:c r="K225" s="12" t="n">
        <x:v>349</x:v>
      </x:c>
      <x:c r="L225" s="12" t="n">
        <x:v>235</x:v>
      </x:c>
      <x:c r="M225" s="12" t="n">
        <x:f>J225*K225</x:f>
        <x:v>698</x:v>
      </x:c>
      <x:c r="N225" s="12" t="n">
        <x:f>J225*L225</x:f>
        <x:v>470</x:v>
      </x:c>
      <x:c r="O225" s="12" t="n">
        <x:f>M225-N225</x:f>
        <x:v>228</x:v>
      </x:c>
      <x:c r="P225" s="12" t="n">
        <x:v>17500</x:v>
      </x:c>
    </x:row>
    <x:row r="226">
      <x:c r="A226" t="str">
        <x:v>O0225</x:v>
      </x:c>
      <x:c r="B226" s="10" t="n">
        <x:v>46205</x:v>
      </x:c>
      <x:c r="C226" t="str">
        <x:v>C037</x:v>
      </x:c>
      <x:c r="D226" t="str">
        <x:v>Customer 37</x:v>
      </x:c>
      <x:c r="E226" t="str">
        <x:v>Student</x:v>
      </x:c>
      <x:c r="F226" t="str">
        <x:v>North</x:v>
      </x:c>
      <x:c r="G226" t="str">
        <x:v>P010</x:v>
      </x:c>
      <x:c r="H226" t="str">
        <x:v>Support Package</x:v>
      </x:c>
      <x:c r="I226" t="str">
        <x:v>Services</x:v>
      </x:c>
      <x:c r="J226" t="n">
        <x:v>1</x:v>
      </x:c>
      <x:c r="K226" s="12" t="n">
        <x:v>240</x:v>
      </x:c>
      <x:c r="L226" s="12" t="n">
        <x:v>95</x:v>
      </x:c>
      <x:c r="M226" s="12" t="n">
        <x:f>J226*K226</x:f>
        <x:v>240</x:v>
      </x:c>
      <x:c r="N226" s="12" t="n">
        <x:f>J226*L226</x:f>
        <x:v>95</x:v>
      </x:c>
      <x:c r="O226" s="12" t="n">
        <x:f>M226-N226</x:f>
        <x:v>145</x:v>
      </x:c>
      <x:c r="P226" s="12" t="n">
        <x:v>17700</x:v>
      </x:c>
    </x:row>
    <x:row r="227">
      <x:c r="A227" t="str">
        <x:v>O0226</x:v>
      </x:c>
      <x:c r="B227" s="10" t="n">
        <x:v>46253</x:v>
      </x:c>
      <x:c r="C227" t="str">
        <x:v>C038</x:v>
      </x:c>
      <x:c r="D227" t="str">
        <x:v>Customer 38</x:v>
      </x:c>
      <x:c r="E227" t="str">
        <x:v>Small Business</x:v>
      </x:c>
      <x:c r="F227" t="str">
        <x:v>South</x:v>
      </x:c>
      <x:c r="G227" t="str">
        <x:v>P009</x:v>
      </x:c>
      <x:c r="H227" t="str">
        <x:v>Cloud Starter Plan</x:v>
      </x:c>
      <x:c r="I227" t="str">
        <x:v>Services</x:v>
      </x:c>
      <x:c r="J227" t="n">
        <x:v>3</x:v>
      </x:c>
      <x:c r="K227" s="12" t="n">
        <x:v>180</x:v>
      </x:c>
      <x:c r="L227" s="12" t="n">
        <x:v>65</x:v>
      </x:c>
      <x:c r="M227" s="12" t="n">
        <x:f>J227*K227</x:f>
        <x:v>540</x:v>
      </x:c>
      <x:c r="N227" s="12" t="n">
        <x:f>J227*L227</x:f>
        <x:v>195</x:v>
      </x:c>
      <x:c r="O227" s="12" t="n">
        <x:f>M227-N227</x:f>
        <x:v>345</x:v>
      </x:c>
      <x:c r="P227" s="12" t="n">
        <x:v>16150</x:v>
      </x:c>
    </x:row>
    <x:row r="228">
      <x:c r="A228" t="str">
        <x:v>O0227</x:v>
      </x:c>
      <x:c r="B228" s="10" t="n">
        <x:v>46271</x:v>
      </x:c>
      <x:c r="C228" t="str">
        <x:v>C033</x:v>
      </x:c>
      <x:c r="D228" t="str">
        <x:v>Customer 33</x:v>
      </x:c>
      <x:c r="E228" t="str">
        <x:v>Student</x:v>
      </x:c>
      <x:c r="F228" t="str">
        <x:v>North</x:v>
      </x:c>
      <x:c r="G228" t="str">
        <x:v>P007</x:v>
      </x:c>
      <x:c r="H228" t="str">
        <x:v>Webcam</x:v>
      </x:c>
      <x:c r="I228" t="str">
        <x:v>Hardware</x:v>
      </x:c>
      <x:c r="J228" t="n">
        <x:v>5</x:v>
      </x:c>
      <x:c r="K228" s="12" t="n">
        <x:v>109</x:v>
      </x:c>
      <x:c r="L228" s="12" t="n">
        <x:v>61</x:v>
      </x:c>
      <x:c r="M228" s="12" t="n">
        <x:f>J228*K228</x:f>
        <x:v>545</x:v>
      </x:c>
      <x:c r="N228" s="12" t="n">
        <x:f>J228*L228</x:f>
        <x:v>305</x:v>
      </x:c>
      <x:c r="O228" s="12" t="n">
        <x:f>M228-N228</x:f>
        <x:v>240</x:v>
      </x:c>
      <x:c r="P228" s="12" t="n">
        <x:v>18600</x:v>
      </x:c>
    </x:row>
    <x:row r="229">
      <x:c r="A229" t="str">
        <x:v>O0228</x:v>
      </x:c>
      <x:c r="B229" s="10" t="n">
        <x:v>46307</x:v>
      </x:c>
      <x:c r="C229" t="str">
        <x:v>C023</x:v>
      </x:c>
      <x:c r="D229" t="str">
        <x:v>Customer 23</x:v>
      </x:c>
      <x:c r="E229" t="str">
        <x:v>Corporate</x:v>
      </x:c>
      <x:c r="F229" t="str">
        <x:v>East</x:v>
      </x:c>
      <x:c r="G229" t="str">
        <x:v>P002</x:v>
      </x:c>
      <x:c r="H229" t="str">
        <x:v>Wireless Mouse</x:v>
      </x:c>
      <x:c r="I229" t="str">
        <x:v>Accessories</x:v>
      </x:c>
      <x:c r="J229" t="n">
        <x:v>2</x:v>
      </x:c>
      <x:c r="K229" s="12" t="n">
        <x:v>38</x:v>
      </x:c>
      <x:c r="L229" s="12" t="n">
        <x:v>18</x:v>
      </x:c>
      <x:c r="M229" s="12" t="n">
        <x:f>J229*K229</x:f>
        <x:v>76</x:v>
      </x:c>
      <x:c r="N229" s="12" t="n">
        <x:f>J229*L229</x:f>
        <x:v>36</x:v>
      </x:c>
      <x:c r="O229" s="12" t="n">
        <x:f>M229-N229</x:f>
        <x:v>40</x:v>
      </x:c>
      <x:c r="P229" s="12" t="n">
        <x:v>18550</x:v>
      </x:c>
    </x:row>
    <x:row r="230">
      <x:c r="A230" t="str">
        <x:v>O0229</x:v>
      </x:c>
      <x:c r="B230" s="10" t="n">
        <x:v>46211</x:v>
      </x:c>
      <x:c r="C230" t="str">
        <x:v>C020</x:v>
      </x:c>
      <x:c r="D230" t="str">
        <x:v>Customer 20</x:v>
      </x:c>
      <x:c r="E230" t="str">
        <x:v>Community</x:v>
      </x:c>
      <x:c r="F230" t="str">
        <x:v>West</x:v>
      </x:c>
      <x:c r="G230" t="str">
        <x:v>P011</x:v>
      </x:c>
      <x:c r="H230" t="str">
        <x:v>Data Cleanup Service</x:v>
      </x:c>
      <x:c r="I230" t="str">
        <x:v>Services</x:v>
      </x:c>
      <x:c r="J230" t="n">
        <x:v>1</x:v>
      </x:c>
      <x:c r="K230" s="12" t="n">
        <x:v>320</x:v>
      </x:c>
      <x:c r="L230" s="12" t="n">
        <x:v>140</x:v>
      </x:c>
      <x:c r="M230" s="12" t="n">
        <x:f>J230*K230</x:f>
        <x:v>320</x:v>
      </x:c>
      <x:c r="N230" s="12" t="n">
        <x:f>J230*L230</x:f>
        <x:v>140</x:v>
      </x:c>
      <x:c r="O230" s="12" t="n">
        <x:f>M230-N230</x:f>
        <x:v>180</x:v>
      </x:c>
      <x:c r="P230" s="12" t="n">
        <x:v>16700</x:v>
      </x:c>
    </x:row>
    <x:row r="231">
      <x:c r="A231" t="str">
        <x:v>O0230</x:v>
      </x:c>
      <x:c r="B231" s="10" t="n">
        <x:v>46373</x:v>
      </x:c>
      <x:c r="C231" t="str">
        <x:v>C009</x:v>
      </x:c>
      <x:c r="D231" t="str">
        <x:v>Customer 09</x:v>
      </x:c>
      <x:c r="E231" t="str">
        <x:v>Student</x:v>
      </x:c>
      <x:c r="F231" t="str">
        <x:v>North</x:v>
      </x:c>
      <x:c r="G231" t="str">
        <x:v>P010</x:v>
      </x:c>
      <x:c r="H231" t="str">
        <x:v>Support Package</x:v>
      </x:c>
      <x:c r="I231" t="str">
        <x:v>Services</x:v>
      </x:c>
      <x:c r="J231" t="n">
        <x:v>3</x:v>
      </x:c>
      <x:c r="K231" s="12" t="n">
        <x:v>220.8</x:v>
      </x:c>
      <x:c r="L231" s="12" t="n">
        <x:v>95</x:v>
      </x:c>
      <x:c r="M231" s="12" t="n">
        <x:f>J231*K231</x:f>
        <x:v>662.4000000000001</x:v>
      </x:c>
      <x:c r="N231" s="12" t="n">
        <x:f>J231*L231</x:f>
        <x:v>285</x:v>
      </x:c>
      <x:c r="O231" s="12" t="n">
        <x:f>M231-N231</x:f>
        <x:v>377.4000000000001</x:v>
      </x:c>
      <x:c r="P231" s="12" t="n">
        <x:v>19950</x:v>
      </x:c>
    </x:row>
    <x:row r="232">
      <x:c r="A232" t="str">
        <x:v>O0231</x:v>
      </x:c>
      <x:c r="B232" s="10" t="n">
        <x:v>46084</x:v>
      </x:c>
      <x:c r="C232" t="str">
        <x:v>C031</x:v>
      </x:c>
      <x:c r="D232" t="str">
        <x:v>Customer 31</x:v>
      </x:c>
      <x:c r="E232" t="str">
        <x:v>Corporate</x:v>
      </x:c>
      <x:c r="F232" t="str">
        <x:v>East</x:v>
      </x:c>
      <x:c r="G232" t="str">
        <x:v>P004</x:v>
      </x:c>
      <x:c r="H232" t="str">
        <x:v>USB-C Hub</x:v>
      </x:c>
      <x:c r="I232" t="str">
        <x:v>Accessories</x:v>
      </x:c>
      <x:c r="J232" t="n">
        <x:v>5</x:v>
      </x:c>
      <x:c r="K232" s="12" t="n">
        <x:v>79</x:v>
      </x:c>
      <x:c r="L232" s="12" t="n">
        <x:v>44</x:v>
      </x:c>
      <x:c r="M232" s="12" t="n">
        <x:f>J232*K232</x:f>
        <x:v>395</x:v>
      </x:c>
      <x:c r="N232" s="12" t="n">
        <x:f>J232*L232</x:f>
        <x:v>220</x:v>
      </x:c>
      <x:c r="O232" s="12" t="n">
        <x:f>M232-N232</x:f>
        <x:v>175</x:v>
      </x:c>
      <x:c r="P232" s="12" t="n">
        <x:v>15400</x:v>
      </x:c>
    </x:row>
    <x:row r="233">
      <x:c r="A233" t="str">
        <x:v>O0232</x:v>
      </x:c>
      <x:c r="B233" s="10" t="n">
        <x:v>46191</x:v>
      </x:c>
      <x:c r="C233" t="str">
        <x:v>C035</x:v>
      </x:c>
      <x:c r="D233" t="str">
        <x:v>Customer 35</x:v>
      </x:c>
      <x:c r="E233" t="str">
        <x:v>Corporate</x:v>
      </x:c>
      <x:c r="F233" t="str">
        <x:v>East</x:v>
      </x:c>
      <x:c r="G233" t="str">
        <x:v>P005</x:v>
      </x:c>
      <x:c r="H233" t="str">
        <x:v>24-inch Monitor</x:v>
      </x:c>
      <x:c r="I233" t="str">
        <x:v>Hardware</x:v>
      </x:c>
      <x:c r="J233" t="n">
        <x:v>5</x:v>
      </x:c>
      <x:c r="K233" s="12" t="n">
        <x:v>249</x:v>
      </x:c>
      <x:c r="L233" s="12" t="n">
        <x:v>169</x:v>
      </x:c>
      <x:c r="M233" s="12" t="n">
        <x:f>J233*K233</x:f>
        <x:v>1245</x:v>
      </x:c>
      <x:c r="N233" s="12" t="n">
        <x:f>J233*L233</x:f>
        <x:v>845</x:v>
      </x:c>
      <x:c r="O233" s="12" t="n">
        <x:f>M233-N233</x:f>
        <x:v>400</x:v>
      </x:c>
      <x:c r="P233" s="12" t="n">
        <x:v>16750</x:v>
      </x:c>
    </x:row>
    <x:row r="234">
      <x:c r="A234" t="str">
        <x:v>O0233</x:v>
      </x:c>
      <x:c r="B234" s="10" t="n">
        <x:v>46314</x:v>
      </x:c>
      <x:c r="C234" t="str">
        <x:v>C007</x:v>
      </x:c>
      <x:c r="D234" t="str">
        <x:v>Customer 07</x:v>
      </x:c>
      <x:c r="E234" t="str">
        <x:v>Corporate</x:v>
      </x:c>
      <x:c r="F234" t="str">
        <x:v>East</x:v>
      </x:c>
      <x:c r="G234" t="str">
        <x:v>P008</x:v>
      </x:c>
      <x:c r="H234" t="str">
        <x:v>Headset</x:v>
      </x:c>
      <x:c r="I234" t="str">
        <x:v>Hardware</x:v>
      </x:c>
      <x:c r="J234" t="n">
        <x:v>3</x:v>
      </x:c>
      <x:c r="K234" s="12" t="n">
        <x:v>129</x:v>
      </x:c>
      <x:c r="L234" s="12" t="n">
        <x:v>72</x:v>
      </x:c>
      <x:c r="M234" s="12" t="n">
        <x:f>J234*K234</x:f>
        <x:v>387</x:v>
      </x:c>
      <x:c r="N234" s="12" t="n">
        <x:f>J234*L234</x:f>
        <x:v>216</x:v>
      </x:c>
      <x:c r="O234" s="12" t="n">
        <x:f>M234-N234</x:f>
        <x:v>171</x:v>
      </x:c>
      <x:c r="P234" s="12" t="n">
        <x:v>18550</x:v>
      </x:c>
    </x:row>
    <x:row r="235">
      <x:c r="A235" t="str">
        <x:v>O0234</x:v>
      </x:c>
      <x:c r="B235" s="10" t="n">
        <x:v>46267</x:v>
      </x:c>
      <x:c r="C235" t="str">
        <x:v>C012</x:v>
      </x:c>
      <x:c r="D235" t="str">
        <x:v>Customer 12</x:v>
      </x:c>
      <x:c r="E235" t="str">
        <x:v>Community</x:v>
      </x:c>
      <x:c r="F235" t="str">
        <x:v>West</x:v>
      </x:c>
      <x:c r="G235" t="str">
        <x:v>P006</x:v>
      </x:c>
      <x:c r="H235" t="str">
        <x:v>27-inch Monitor</x:v>
      </x:c>
      <x:c r="I235" t="str">
        <x:v>Hardware</x:v>
      </x:c>
      <x:c r="J235" t="n">
        <x:v>5</x:v>
      </x:c>
      <x:c r="K235" s="12" t="n">
        <x:v>349</x:v>
      </x:c>
      <x:c r="L235" s="12" t="n">
        <x:v>235</x:v>
      </x:c>
      <x:c r="M235" s="12" t="n">
        <x:f>J235*K235</x:f>
        <x:v>1745</x:v>
      </x:c>
      <x:c r="N235" s="12" t="n">
        <x:f>J235*L235</x:f>
        <x:v>1175</x:v>
      </x:c>
      <x:c r="O235" s="12" t="n">
        <x:f>M235-N235</x:f>
        <x:v>570</x:v>
      </x:c>
      <x:c r="P235" s="12" t="n">
        <x:v>17600</x:v>
      </x:c>
    </x:row>
    <x:row r="236">
      <x:c r="A236" t="str">
        <x:v>O0235</x:v>
      </x:c>
      <x:c r="B236" s="10" t="n">
        <x:v>46308</x:v>
      </x:c>
      <x:c r="C236" t="str">
        <x:v>C003</x:v>
      </x:c>
      <x:c r="D236" t="str">
        <x:v>Customer 03</x:v>
      </x:c>
      <x:c r="E236" t="str">
        <x:v>Corporate</x:v>
      </x:c>
      <x:c r="F236" t="str">
        <x:v>East</x:v>
      </x:c>
      <x:c r="G236" t="str">
        <x:v>P007</x:v>
      </x:c>
      <x:c r="H236" t="str">
        <x:v>Webcam</x:v>
      </x:c>
      <x:c r="I236" t="str">
        <x:v>Hardware</x:v>
      </x:c>
      <x:c r="J236" t="n">
        <x:v>5</x:v>
      </x:c>
      <x:c r="K236" s="12" t="n">
        <x:v>109</x:v>
      </x:c>
      <x:c r="L236" s="12" t="n">
        <x:v>61</x:v>
      </x:c>
      <x:c r="M236" s="12" t="n">
        <x:f>J236*K236</x:f>
        <x:v>545</x:v>
      </x:c>
      <x:c r="N236" s="12" t="n">
        <x:f>J236*L236</x:f>
        <x:v>305</x:v>
      </x:c>
      <x:c r="O236" s="12" t="n">
        <x:f>M236-N236</x:f>
        <x:v>240</x:v>
      </x:c>
      <x:c r="P236" s="12" t="n">
        <x:v>18550</x:v>
      </x:c>
    </x:row>
    <x:row r="237">
      <x:c r="A237" t="str">
        <x:v>O0236</x:v>
      </x:c>
      <x:c r="B237" s="10" t="n">
        <x:v>46072</x:v>
      </x:c>
      <x:c r="C237" t="str">
        <x:v>C032</x:v>
      </x:c>
      <x:c r="D237" t="str">
        <x:v>Customer 32</x:v>
      </x:c>
      <x:c r="E237" t="str">
        <x:v>Community</x:v>
      </x:c>
      <x:c r="F237" t="str">
        <x:v>West</x:v>
      </x:c>
      <x:c r="G237" t="str">
        <x:v>P006</x:v>
      </x:c>
      <x:c r="H237" t="str">
        <x:v>27-inch Monitor</x:v>
      </x:c>
      <x:c r="I237" t="str">
        <x:v>Hardware</x:v>
      </x:c>
      <x:c r="J237" t="n">
        <x:v>2</x:v>
      </x:c>
      <x:c r="K237" s="12" t="n">
        <x:v>321.08</x:v>
      </x:c>
      <x:c r="L237" s="12" t="n">
        <x:v>235</x:v>
      </x:c>
      <x:c r="M237" s="12" t="n">
        <x:f>J237*K237</x:f>
        <x:v>642.16</x:v>
      </x:c>
      <x:c r="N237" s="12" t="n">
        <x:f>J237*L237</x:f>
        <x:v>470</x:v>
      </x:c>
      <x:c r="O237" s="12" t="n">
        <x:f>M237-N237</x:f>
        <x:v>172.15999999999997</x:v>
      </x:c>
      <x:c r="P237" s="12" t="n">
        <x:v>14450</x:v>
      </x:c>
    </x:row>
    <x:row r="238">
      <x:c r="A238" t="str">
        <x:v>O0237</x:v>
      </x:c>
      <x:c r="B238" s="10" t="n">
        <x:v>46028</x:v>
      </x:c>
      <x:c r="C238" t="str">
        <x:v>C030</x:v>
      </x:c>
      <x:c r="D238" t="str">
        <x:v>Customer 30</x:v>
      </x:c>
      <x:c r="E238" t="str">
        <x:v>Small Business</x:v>
      </x:c>
      <x:c r="F238" t="str">
        <x:v>South</x:v>
      </x:c>
      <x:c r="G238" t="str">
        <x:v>P001</x:v>
      </x:c>
      <x:c r="H238" t="str">
        <x:v>Laptop Stand</x:v>
      </x:c>
      <x:c r="I238" t="str">
        <x:v>Accessories</x:v>
      </x:c>
      <x:c r="J238" t="n">
        <x:v>5</x:v>
      </x:c>
      <x:c r="K238" s="12" t="n">
        <x:v>45</x:v>
      </x:c>
      <x:c r="L238" s="12" t="n">
        <x:v>23</x:v>
      </x:c>
      <x:c r="M238" s="12" t="n">
        <x:f>J238*K238</x:f>
        <x:v>225</x:v>
      </x:c>
      <x:c r="N238" s="12" t="n">
        <x:f>J238*L238</x:f>
        <x:v>115</x:v>
      </x:c>
      <x:c r="O238" s="12" t="n">
        <x:f>M238-N238</x:f>
        <x:v>110</x:v>
      </x:c>
      <x:c r="P238" s="12" t="n">
        <x:v>13000</x:v>
      </x:c>
    </x:row>
    <x:row r="239">
      <x:c r="A239" t="str">
        <x:v>O0238</x:v>
      </x:c>
      <x:c r="B239" s="10" t="n">
        <x:v>46219</x:v>
      </x:c>
      <x:c r="C239" t="str">
        <x:v>C003</x:v>
      </x:c>
      <x:c r="D239" t="str">
        <x:v>Customer 03</x:v>
      </x:c>
      <x:c r="E239" t="str">
        <x:v>Corporate</x:v>
      </x:c>
      <x:c r="F239" t="str">
        <x:v>East</x:v>
      </x:c>
      <x:c r="G239" t="str">
        <x:v>P005</x:v>
      </x:c>
      <x:c r="H239" t="str">
        <x:v>24-inch Monitor</x:v>
      </x:c>
      <x:c r="I239" t="str">
        <x:v>Hardware</x:v>
      </x:c>
      <x:c r="J239" t="n">
        <x:v>4</x:v>
      </x:c>
      <x:c r="K239" s="12" t="n">
        <x:v>249</x:v>
      </x:c>
      <x:c r="L239" s="12" t="n">
        <x:v>169</x:v>
      </x:c>
      <x:c r="M239" s="12" t="n">
        <x:f>J239*K239</x:f>
        <x:v>996</x:v>
      </x:c>
      <x:c r="N239" s="12" t="n">
        <x:f>J239*L239</x:f>
        <x:v>676</x:v>
      </x:c>
      <x:c r="O239" s="12" t="n">
        <x:f>M239-N239</x:f>
        <x:v>320</x:v>
      </x:c>
      <x:c r="P239" s="12" t="n">
        <x:v>17200</x:v>
      </x:c>
    </x:row>
    <x:row r="240">
      <x:c r="A240" t="str">
        <x:v>O0239</x:v>
      </x:c>
      <x:c r="B240" s="10" t="n">
        <x:v>46196</x:v>
      </x:c>
      <x:c r="C240" t="str">
        <x:v>C009</x:v>
      </x:c>
      <x:c r="D240" t="str">
        <x:v>Customer 09</x:v>
      </x:c>
      <x:c r="E240" t="str">
        <x:v>Student</x:v>
      </x:c>
      <x:c r="F240" t="str">
        <x:v>North</x:v>
      </x:c>
      <x:c r="G240" t="str">
        <x:v>P012</x:v>
      </x:c>
      <x:c r="H240" t="str">
        <x:v>Dashboard Setup</x:v>
      </x:c>
      <x:c r="I240" t="str">
        <x:v>Services</x:v>
      </x:c>
      <x:c r="J240" t="n">
        <x:v>5</x:v>
      </x:c>
      <x:c r="K240" s="12" t="n">
        <x:v>450</x:v>
      </x:c>
      <x:c r="L240" s="12" t="n">
        <x:v>205</x:v>
      </x:c>
      <x:c r="M240" s="12" t="n">
        <x:f>J240*K240</x:f>
        <x:v>2250</x:v>
      </x:c>
      <x:c r="N240" s="12" t="n">
        <x:f>J240*L240</x:f>
        <x:v>1025</x:v>
      </x:c>
      <x:c r="O240" s="12" t="n">
        <x:f>M240-N240</x:f>
        <x:v>1225</x:v>
      </x:c>
      <x:c r="P240" s="12" t="n">
        <x:v>17250</x:v>
      </x:c>
    </x:row>
    <x:row r="241">
      <x:c r="A241" t="str">
        <x:v>O0240</x:v>
      </x:c>
      <x:c r="B241" s="10" t="n">
        <x:v>46253</x:v>
      </x:c>
      <x:c r="C241" t="str">
        <x:v>C040</x:v>
      </x:c>
      <x:c r="D241" t="str">
        <x:v>Customer 40</x:v>
      </x:c>
      <x:c r="E241" t="str">
        <x:v>Community</x:v>
      </x:c>
      <x:c r="F241" t="str">
        <x:v>West</x:v>
      </x:c>
      <x:c r="G241" t="str">
        <x:v>P004</x:v>
      </x:c>
      <x:c r="H241" t="str">
        <x:v>USB-C Hub</x:v>
      </x:c>
      <x:c r="I241" t="str">
        <x:v>Accessories</x:v>
      </x:c>
      <x:c r="J241" t="n">
        <x:v>1</x:v>
      </x:c>
      <x:c r="K241" s="12" t="n">
        <x:v>79</x:v>
      </x:c>
      <x:c r="L241" s="12" t="n">
        <x:v>44</x:v>
      </x:c>
      <x:c r="M241" s="12" t="n">
        <x:f>J241*K241</x:f>
        <x:v>79</x:v>
      </x:c>
      <x:c r="N241" s="12" t="n">
        <x:f>J241*L241</x:f>
        <x:v>44</x:v>
      </x:c>
      <x:c r="O241" s="12" t="n">
        <x:f>M241-N241</x:f>
        <x:v>35</x:v>
      </x:c>
      <x:c r="P241" s="12" t="n">
        <x:v>17150</x:v>
      </x:c>
    </x:row>
  </x:sheetData>
  <x:pageMargins left="0.7" right="0.7" top="0.75" bottom="0.75" header="0.3" footer="0.3"/>
  <x:tableParts count="1">
    <x:tablePart xmlns:r="http://schemas.openxmlformats.org/officeDocument/2006/relationships" r:id="Rd130ca6e7bd54b2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.880000114440918" hidden="0" customWidth="1"/>
    <x:col min="3" max="3" width="17" hidden="0" customWidth="1"/>
    <x:col min="4" max="4" width="11.25" hidden="0" customWidth="1"/>
    <x:col min="5" max="5" width="8.25" hidden="0" customWidth="1"/>
  </x:cols>
  <x:sheetData>
    <x:row r="1">
      <x:c r="A1" s="5" t="str">
        <x:v>CustomerID</x:v>
      </x:c>
      <x:c r="B1" s="5" t="str">
        <x:v>CustomerName</x:v>
      </x:c>
      <x:c r="C1" s="5" t="str">
        <x:v>CustomerSegment</x:v>
      </x:c>
      <x:c r="D1" s="5" t="str">
        <x:v>City</x:v>
      </x:c>
      <x:c r="E1" s="5" t="str">
        <x:v>Region</x:v>
      </x:c>
    </x:row>
    <x:row r="2">
      <x:c r="A2" t="str">
        <x:v>C001</x:v>
      </x:c>
      <x:c r="B2" t="str">
        <x:v>Customer 01</x:v>
      </x:c>
      <x:c r="C2" t="str">
        <x:v>Student</x:v>
      </x:c>
      <x:c r="D2" t="str">
        <x:v>Darwin</x:v>
      </x:c>
      <x:c r="E2" t="str">
        <x:v>North</x:v>
      </x:c>
    </x:row>
    <x:row r="3">
      <x:c r="A3" t="str">
        <x:v>C002</x:v>
      </x:c>
      <x:c r="B3" t="str">
        <x:v>Customer 02</x:v>
      </x:c>
      <x:c r="C3" t="str">
        <x:v>Small Business</x:v>
      </x:c>
      <x:c r="D3" t="str">
        <x:v>Tennant Creek</x:v>
      </x:c>
      <x:c r="E3" t="str">
        <x:v>South</x:v>
      </x:c>
    </x:row>
    <x:row r="4">
      <x:c r="A4" t="str">
        <x:v>C003</x:v>
      </x:c>
      <x:c r="B4" t="str">
        <x:v>Customer 03</x:v>
      </x:c>
      <x:c r="C4" t="str">
        <x:v>Corporate</x:v>
      </x:c>
      <x:c r="D4" t="str">
        <x:v>Townsville</x:v>
      </x:c>
      <x:c r="E4" t="str">
        <x:v>East</x:v>
      </x:c>
    </x:row>
    <x:row r="5">
      <x:c r="A5" t="str">
        <x:v>C004</x:v>
      </x:c>
      <x:c r="B5" t="str">
        <x:v>Customer 04</x:v>
      </x:c>
      <x:c r="C5" t="str">
        <x:v>Community</x:v>
      </x:c>
      <x:c r="D5" t="str">
        <x:v>Perth</x:v>
      </x:c>
      <x:c r="E5" t="str">
        <x:v>West</x:v>
      </x:c>
    </x:row>
    <x:row r="6">
      <x:c r="A6" t="str">
        <x:v>C005</x:v>
      </x:c>
      <x:c r="B6" t="str">
        <x:v>Customer 05</x:v>
      </x:c>
      <x:c r="C6" t="str">
        <x:v>Student</x:v>
      </x:c>
      <x:c r="D6" t="str">
        <x:v>Palmerston</x:v>
      </x:c>
      <x:c r="E6" t="str">
        <x:v>North</x:v>
      </x:c>
    </x:row>
    <x:row r="7">
      <x:c r="A7" t="str">
        <x:v>C006</x:v>
      </x:c>
      <x:c r="B7" t="str">
        <x:v>Customer 06</x:v>
      </x:c>
      <x:c r="C7" t="str">
        <x:v>Small Business</x:v>
      </x:c>
      <x:c r="D7" t="str">
        <x:v>Adelaide</x:v>
      </x:c>
      <x:c r="E7" t="str">
        <x:v>South</x:v>
      </x:c>
    </x:row>
    <x:row r="8">
      <x:c r="A8" t="str">
        <x:v>C007</x:v>
      </x:c>
      <x:c r="B8" t="str">
        <x:v>Customer 07</x:v>
      </x:c>
      <x:c r="C8" t="str">
        <x:v>Corporate</x:v>
      </x:c>
      <x:c r="D8" t="str">
        <x:v>Brisbane</x:v>
      </x:c>
      <x:c r="E8" t="str">
        <x:v>East</x:v>
      </x:c>
    </x:row>
    <x:row r="9">
      <x:c r="A9" t="str">
        <x:v>C008</x:v>
      </x:c>
      <x:c r="B9" t="str">
        <x:v>Customer 08</x:v>
      </x:c>
      <x:c r="C9" t="str">
        <x:v>Community</x:v>
      </x:c>
      <x:c r="D9" t="str">
        <x:v>Broome</x:v>
      </x:c>
      <x:c r="E9" t="str">
        <x:v>West</x:v>
      </x:c>
    </x:row>
    <x:row r="10">
      <x:c r="A10" t="str">
        <x:v>C009</x:v>
      </x:c>
      <x:c r="B10" t="str">
        <x:v>Customer 09</x:v>
      </x:c>
      <x:c r="C10" t="str">
        <x:v>Student</x:v>
      </x:c>
      <x:c r="D10" t="str">
        <x:v>Katherine</x:v>
      </x:c>
      <x:c r="E10" t="str">
        <x:v>North</x:v>
      </x:c>
    </x:row>
    <x:row r="11">
      <x:c r="A11" t="str">
        <x:v>C010</x:v>
      </x:c>
      <x:c r="B11" t="str">
        <x:v>Customer 10</x:v>
      </x:c>
      <x:c r="C11" t="str">
        <x:v>Small Business</x:v>
      </x:c>
      <x:c r="D11" t="str">
        <x:v>Alice Springs</x:v>
      </x:c>
      <x:c r="E11" t="str">
        <x:v>South</x:v>
      </x:c>
    </x:row>
    <x:row r="12">
      <x:c r="A12" t="str">
        <x:v>C011</x:v>
      </x:c>
      <x:c r="B12" t="str">
        <x:v>Customer 11</x:v>
      </x:c>
      <x:c r="C12" t="str">
        <x:v>Corporate</x:v>
      </x:c>
      <x:c r="D12" t="str">
        <x:v>Cairns</x:v>
      </x:c>
      <x:c r="E12" t="str">
        <x:v>East</x:v>
      </x:c>
    </x:row>
    <x:row r="13">
      <x:c r="A13" t="str">
        <x:v>C012</x:v>
      </x:c>
      <x:c r="B13" t="str">
        <x:v>Customer 12</x:v>
      </x:c>
      <x:c r="C13" t="str">
        <x:v>Community</x:v>
      </x:c>
      <x:c r="D13" t="str">
        <x:v>Geraldton</x:v>
      </x:c>
      <x:c r="E13" t="str">
        <x:v>West</x:v>
      </x:c>
    </x:row>
    <x:row r="14">
      <x:c r="A14" t="str">
        <x:v>C013</x:v>
      </x:c>
      <x:c r="B14" t="str">
        <x:v>Customer 13</x:v>
      </x:c>
      <x:c r="C14" t="str">
        <x:v>Student</x:v>
      </x:c>
      <x:c r="D14" t="str">
        <x:v>Darwin</x:v>
      </x:c>
      <x:c r="E14" t="str">
        <x:v>North</x:v>
      </x:c>
    </x:row>
    <x:row r="15">
      <x:c r="A15" t="str">
        <x:v>C014</x:v>
      </x:c>
      <x:c r="B15" t="str">
        <x:v>Customer 14</x:v>
      </x:c>
      <x:c r="C15" t="str">
        <x:v>Small Business</x:v>
      </x:c>
      <x:c r="D15" t="str">
        <x:v>Tennant Creek</x:v>
      </x:c>
      <x:c r="E15" t="str">
        <x:v>South</x:v>
      </x:c>
    </x:row>
    <x:row r="16">
      <x:c r="A16" t="str">
        <x:v>C015</x:v>
      </x:c>
      <x:c r="B16" t="str">
        <x:v>Customer 15</x:v>
      </x:c>
      <x:c r="C16" t="str">
        <x:v>Corporate</x:v>
      </x:c>
      <x:c r="D16" t="str">
        <x:v>Townsville</x:v>
      </x:c>
      <x:c r="E16" t="str">
        <x:v>East</x:v>
      </x:c>
    </x:row>
    <x:row r="17">
      <x:c r="A17" t="str">
        <x:v>C016</x:v>
      </x:c>
      <x:c r="B17" t="str">
        <x:v>Customer 16</x:v>
      </x:c>
      <x:c r="C17" t="str">
        <x:v>Community</x:v>
      </x:c>
      <x:c r="D17" t="str">
        <x:v>Perth</x:v>
      </x:c>
      <x:c r="E17" t="str">
        <x:v>West</x:v>
      </x:c>
    </x:row>
    <x:row r="18">
      <x:c r="A18" t="str">
        <x:v>C017</x:v>
      </x:c>
      <x:c r="B18" t="str">
        <x:v>Customer 17</x:v>
      </x:c>
      <x:c r="C18" t="str">
        <x:v>Student</x:v>
      </x:c>
      <x:c r="D18" t="str">
        <x:v>Palmerston</x:v>
      </x:c>
      <x:c r="E18" t="str">
        <x:v>North</x:v>
      </x:c>
    </x:row>
    <x:row r="19">
      <x:c r="A19" t="str">
        <x:v>C018</x:v>
      </x:c>
      <x:c r="B19" t="str">
        <x:v>Customer 18</x:v>
      </x:c>
      <x:c r="C19" t="str">
        <x:v>Small Business</x:v>
      </x:c>
      <x:c r="D19" t="str">
        <x:v>Adelaide</x:v>
      </x:c>
      <x:c r="E19" t="str">
        <x:v>South</x:v>
      </x:c>
    </x:row>
    <x:row r="20">
      <x:c r="A20" t="str">
        <x:v>C019</x:v>
      </x:c>
      <x:c r="B20" t="str">
        <x:v>Customer 19</x:v>
      </x:c>
      <x:c r="C20" t="str">
        <x:v>Corporate</x:v>
      </x:c>
      <x:c r="D20" t="str">
        <x:v>Brisbane</x:v>
      </x:c>
      <x:c r="E20" t="str">
        <x:v>East</x:v>
      </x:c>
    </x:row>
    <x:row r="21">
      <x:c r="A21" t="str">
        <x:v>C020</x:v>
      </x:c>
      <x:c r="B21" t="str">
        <x:v>Customer 20</x:v>
      </x:c>
      <x:c r="C21" t="str">
        <x:v>Community</x:v>
      </x:c>
      <x:c r="D21" t="str">
        <x:v>Broome</x:v>
      </x:c>
      <x:c r="E21" t="str">
        <x:v>West</x:v>
      </x:c>
    </x:row>
    <x:row r="22">
      <x:c r="A22" t="str">
        <x:v>C021</x:v>
      </x:c>
      <x:c r="B22" t="str">
        <x:v>Customer 21</x:v>
      </x:c>
      <x:c r="C22" t="str">
        <x:v>Student</x:v>
      </x:c>
      <x:c r="D22" t="str">
        <x:v>Katherine</x:v>
      </x:c>
      <x:c r="E22" t="str">
        <x:v>North</x:v>
      </x:c>
    </x:row>
    <x:row r="23">
      <x:c r="A23" t="str">
        <x:v>C022</x:v>
      </x:c>
      <x:c r="B23" t="str">
        <x:v>Customer 22</x:v>
      </x:c>
      <x:c r="C23" t="str">
        <x:v>Small Business</x:v>
      </x:c>
      <x:c r="D23" t="str">
        <x:v>Alice Springs</x:v>
      </x:c>
      <x:c r="E23" t="str">
        <x:v>South</x:v>
      </x:c>
    </x:row>
    <x:row r="24">
      <x:c r="A24" t="str">
        <x:v>C023</x:v>
      </x:c>
      <x:c r="B24" t="str">
        <x:v>Customer 23</x:v>
      </x:c>
      <x:c r="C24" t="str">
        <x:v>Corporate</x:v>
      </x:c>
      <x:c r="D24" t="str">
        <x:v>Cairns</x:v>
      </x:c>
      <x:c r="E24" t="str">
        <x:v>East</x:v>
      </x:c>
    </x:row>
    <x:row r="25">
      <x:c r="A25" t="str">
        <x:v>C024</x:v>
      </x:c>
      <x:c r="B25" t="str">
        <x:v>Customer 24</x:v>
      </x:c>
      <x:c r="C25" t="str">
        <x:v>Community</x:v>
      </x:c>
      <x:c r="D25" t="str">
        <x:v>Geraldton</x:v>
      </x:c>
      <x:c r="E25" t="str">
        <x:v>West</x:v>
      </x:c>
    </x:row>
    <x:row r="26">
      <x:c r="A26" t="str">
        <x:v>C025</x:v>
      </x:c>
      <x:c r="B26" t="str">
        <x:v>Customer 25</x:v>
      </x:c>
      <x:c r="C26" t="str">
        <x:v>Student</x:v>
      </x:c>
      <x:c r="D26" t="str">
        <x:v>Darwin</x:v>
      </x:c>
      <x:c r="E26" t="str">
        <x:v>North</x:v>
      </x:c>
    </x:row>
    <x:row r="27">
      <x:c r="A27" t="str">
        <x:v>C026</x:v>
      </x:c>
      <x:c r="B27" t="str">
        <x:v>Customer 26</x:v>
      </x:c>
      <x:c r="C27" t="str">
        <x:v>Small Business</x:v>
      </x:c>
      <x:c r="D27" t="str">
        <x:v>Tennant Creek</x:v>
      </x:c>
      <x:c r="E27" t="str">
        <x:v>South</x:v>
      </x:c>
    </x:row>
    <x:row r="28">
      <x:c r="A28" t="str">
        <x:v>C027</x:v>
      </x:c>
      <x:c r="B28" t="str">
        <x:v>Customer 27</x:v>
      </x:c>
      <x:c r="C28" t="str">
        <x:v>Corporate</x:v>
      </x:c>
      <x:c r="D28" t="str">
        <x:v>Townsville</x:v>
      </x:c>
      <x:c r="E28" t="str">
        <x:v>East</x:v>
      </x:c>
    </x:row>
    <x:row r="29">
      <x:c r="A29" t="str">
        <x:v>C028</x:v>
      </x:c>
      <x:c r="B29" t="str">
        <x:v>Customer 28</x:v>
      </x:c>
      <x:c r="C29" t="str">
        <x:v>Community</x:v>
      </x:c>
      <x:c r="D29" t="str">
        <x:v>Perth</x:v>
      </x:c>
      <x:c r="E29" t="str">
        <x:v>West</x:v>
      </x:c>
    </x:row>
    <x:row r="30">
      <x:c r="A30" t="str">
        <x:v>C029</x:v>
      </x:c>
      <x:c r="B30" t="str">
        <x:v>Customer 29</x:v>
      </x:c>
      <x:c r="C30" t="str">
        <x:v>Student</x:v>
      </x:c>
      <x:c r="D30" t="str">
        <x:v>Palmerston</x:v>
      </x:c>
      <x:c r="E30" t="str">
        <x:v>North</x:v>
      </x:c>
    </x:row>
    <x:row r="31">
      <x:c r="A31" t="str">
        <x:v>C030</x:v>
      </x:c>
      <x:c r="B31" t="str">
        <x:v>Customer 30</x:v>
      </x:c>
      <x:c r="C31" t="str">
        <x:v>Small Business</x:v>
      </x:c>
      <x:c r="D31" t="str">
        <x:v>Adelaide</x:v>
      </x:c>
      <x:c r="E31" t="str">
        <x:v>South</x:v>
      </x:c>
    </x:row>
    <x:row r="32">
      <x:c r="A32" t="str">
        <x:v>C031</x:v>
      </x:c>
      <x:c r="B32" t="str">
        <x:v>Customer 31</x:v>
      </x:c>
      <x:c r="C32" t="str">
        <x:v>Corporate</x:v>
      </x:c>
      <x:c r="D32" t="str">
        <x:v>Brisbane</x:v>
      </x:c>
      <x:c r="E32" t="str">
        <x:v>East</x:v>
      </x:c>
    </x:row>
    <x:row r="33">
      <x:c r="A33" t="str">
        <x:v>C032</x:v>
      </x:c>
      <x:c r="B33" t="str">
        <x:v>Customer 32</x:v>
      </x:c>
      <x:c r="C33" t="str">
        <x:v>Community</x:v>
      </x:c>
      <x:c r="D33" t="str">
        <x:v>Broome</x:v>
      </x:c>
      <x:c r="E33" t="str">
        <x:v>West</x:v>
      </x:c>
    </x:row>
    <x:row r="34">
      <x:c r="A34" t="str">
        <x:v>C033</x:v>
      </x:c>
      <x:c r="B34" t="str">
        <x:v>Customer 33</x:v>
      </x:c>
      <x:c r="C34" t="str">
        <x:v>Student</x:v>
      </x:c>
      <x:c r="D34" t="str">
        <x:v>Katherine</x:v>
      </x:c>
      <x:c r="E34" t="str">
        <x:v>North</x:v>
      </x:c>
    </x:row>
    <x:row r="35">
      <x:c r="A35" t="str">
        <x:v>C034</x:v>
      </x:c>
      <x:c r="B35" t="str">
        <x:v>Customer 34</x:v>
      </x:c>
      <x:c r="C35" t="str">
        <x:v>Small Business</x:v>
      </x:c>
      <x:c r="D35" t="str">
        <x:v>Alice Springs</x:v>
      </x:c>
      <x:c r="E35" t="str">
        <x:v>South</x:v>
      </x:c>
    </x:row>
    <x:row r="36">
      <x:c r="A36" t="str">
        <x:v>C035</x:v>
      </x:c>
      <x:c r="B36" t="str">
        <x:v>Customer 35</x:v>
      </x:c>
      <x:c r="C36" t="str">
        <x:v>Corporate</x:v>
      </x:c>
      <x:c r="D36" t="str">
        <x:v>Cairns</x:v>
      </x:c>
      <x:c r="E36" t="str">
        <x:v>East</x:v>
      </x:c>
    </x:row>
    <x:row r="37">
      <x:c r="A37" t="str">
        <x:v>C036</x:v>
      </x:c>
      <x:c r="B37" t="str">
        <x:v>Customer 36</x:v>
      </x:c>
      <x:c r="C37" t="str">
        <x:v>Community</x:v>
      </x:c>
      <x:c r="D37" t="str">
        <x:v>Geraldton</x:v>
      </x:c>
      <x:c r="E37" t="str">
        <x:v>West</x:v>
      </x:c>
    </x:row>
    <x:row r="38">
      <x:c r="A38" t="str">
        <x:v>C037</x:v>
      </x:c>
      <x:c r="B38" t="str">
        <x:v>Customer 37</x:v>
      </x:c>
      <x:c r="C38" t="str">
        <x:v>Student</x:v>
      </x:c>
      <x:c r="D38" t="str">
        <x:v>Darwin</x:v>
      </x:c>
      <x:c r="E38" t="str">
        <x:v>North</x:v>
      </x:c>
    </x:row>
    <x:row r="39">
      <x:c r="A39" t="str">
        <x:v>C038</x:v>
      </x:c>
      <x:c r="B39" t="str">
        <x:v>Customer 38</x:v>
      </x:c>
      <x:c r="C39" t="str">
        <x:v>Small Business</x:v>
      </x:c>
      <x:c r="D39" t="str">
        <x:v>Tennant Creek</x:v>
      </x:c>
      <x:c r="E39" t="str">
        <x:v>South</x:v>
      </x:c>
    </x:row>
    <x:row r="40">
      <x:c r="A40" t="str">
        <x:v>C039</x:v>
      </x:c>
      <x:c r="B40" t="str">
        <x:v>Customer 39</x:v>
      </x:c>
      <x:c r="C40" t="str">
        <x:v>Corporate</x:v>
      </x:c>
      <x:c r="D40" t="str">
        <x:v>Townsville</x:v>
      </x:c>
      <x:c r="E40" t="str">
        <x:v>East</x:v>
      </x:c>
    </x:row>
    <x:row r="41">
      <x:c r="A41" t="str">
        <x:v>C040</x:v>
      </x:c>
      <x:c r="B41" t="str">
        <x:v>Customer 40</x:v>
      </x:c>
      <x:c r="C41" t="str">
        <x:v>Community</x:v>
      </x:c>
      <x:c r="D41" t="str">
        <x:v>Perth</x:v>
      </x:c>
      <x:c r="E41" t="str">
        <x:v>West</x:v>
      </x:c>
    </x:row>
  </x:sheetData>
  <x:pageMargins left="0.7" right="0.7" top="0.75" bottom="0.75" header="0.3" footer="0.3"/>
  <x:tableParts count="1">
    <x:tablePart xmlns:r="http://schemas.openxmlformats.org/officeDocument/2006/relationships" r:id="Rf188b850e084489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.630000114440918" hidden="0" customWidth="1"/>
    <x:col min="2" max="2" width="16.25" hidden="0" customWidth="1"/>
    <x:col min="3" max="3" width="9.880000114440918" hidden="0" customWidth="1"/>
    <x:col min="4" max="4" width="10.130000114440918" hidden="0" customWidth="1"/>
    <x:col min="5" max="5" width="9.630000114440918" hidden="0" customWidth="1"/>
  </x:cols>
  <x:sheetData>
    <x:row r="1">
      <x:c r="A1" s="5" t="str">
        <x:v>ProductID</x:v>
      </x:c>
      <x:c r="B1" s="5" t="str">
        <x:v>ProductName</x:v>
      </x:c>
      <x:c r="C1" s="5" t="str">
        <x:v>Category</x:v>
      </x:c>
      <x:c r="D1" s="5" t="str">
        <x:v>UnitPrice</x:v>
      </x:c>
      <x:c r="E1" s="5" t="str">
        <x:v>UnitCost</x:v>
      </x:c>
    </x:row>
    <x:row r="2">
      <x:c r="A2" t="str">
        <x:v>P001</x:v>
      </x:c>
      <x:c r="B2" t="str">
        <x:v>Laptop Stand</x:v>
      </x:c>
      <x:c r="C2" t="str">
        <x:v>Accessories</x:v>
      </x:c>
      <x:c r="D2" t="n">
        <x:v>45</x:v>
      </x:c>
      <x:c r="E2" t="n">
        <x:v>23</x:v>
      </x:c>
    </x:row>
    <x:row r="3">
      <x:c r="A3" t="str">
        <x:v>P002</x:v>
      </x:c>
      <x:c r="B3" t="str">
        <x:v>Wireless Mouse</x:v>
      </x:c>
      <x:c r="C3" t="str">
        <x:v>Accessories</x:v>
      </x:c>
      <x:c r="D3" t="n">
        <x:v>38</x:v>
      </x:c>
      <x:c r="E3" t="n">
        <x:v>18</x:v>
      </x:c>
    </x:row>
    <x:row r="4">
      <x:c r="A4" t="str">
        <x:v>P003</x:v>
      </x:c>
      <x:c r="B4" t="str">
        <x:v>Keyboard</x:v>
      </x:c>
      <x:c r="C4" t="str">
        <x:v>Accessories</x:v>
      </x:c>
      <x:c r="D4" t="n">
        <x:v>62</x:v>
      </x:c>
      <x:c r="E4" t="n">
        <x:v>33</x:v>
      </x:c>
    </x:row>
    <x:row r="5">
      <x:c r="A5" t="str">
        <x:v>P004</x:v>
      </x:c>
      <x:c r="B5" t="str">
        <x:v>USB-C Hub</x:v>
      </x:c>
      <x:c r="C5" t="str">
        <x:v>Accessories</x:v>
      </x:c>
      <x:c r="D5" t="n">
        <x:v>79</x:v>
      </x:c>
      <x:c r="E5" t="n">
        <x:v>44</x:v>
      </x:c>
    </x:row>
    <x:row r="6">
      <x:c r="A6" t="str">
        <x:v>P005</x:v>
      </x:c>
      <x:c r="B6" t="str">
        <x:v>24-inch Monitor</x:v>
      </x:c>
      <x:c r="C6" t="str">
        <x:v>Hardware</x:v>
      </x:c>
      <x:c r="D6" t="n">
        <x:v>249</x:v>
      </x:c>
      <x:c r="E6" t="n">
        <x:v>169</x:v>
      </x:c>
    </x:row>
    <x:row r="7">
      <x:c r="A7" t="str">
        <x:v>P006</x:v>
      </x:c>
      <x:c r="B7" t="str">
        <x:v>27-inch Monitor</x:v>
      </x:c>
      <x:c r="C7" t="str">
        <x:v>Hardware</x:v>
      </x:c>
      <x:c r="D7" t="n">
        <x:v>349</x:v>
      </x:c>
      <x:c r="E7" t="n">
        <x:v>235</x:v>
      </x:c>
    </x:row>
    <x:row r="8">
      <x:c r="A8" t="str">
        <x:v>P007</x:v>
      </x:c>
      <x:c r="B8" t="str">
        <x:v>Webcam</x:v>
      </x:c>
      <x:c r="C8" t="str">
        <x:v>Hardware</x:v>
      </x:c>
      <x:c r="D8" t="n">
        <x:v>109</x:v>
      </x:c>
      <x:c r="E8" t="n">
        <x:v>61</x:v>
      </x:c>
    </x:row>
    <x:row r="9">
      <x:c r="A9" t="str">
        <x:v>P008</x:v>
      </x:c>
      <x:c r="B9" t="str">
        <x:v>Headset</x:v>
      </x:c>
      <x:c r="C9" t="str">
        <x:v>Hardware</x:v>
      </x:c>
      <x:c r="D9" t="n">
        <x:v>129</x:v>
      </x:c>
      <x:c r="E9" t="n">
        <x:v>72</x:v>
      </x:c>
    </x:row>
    <x:row r="10">
      <x:c r="A10" t="str">
        <x:v>P009</x:v>
      </x:c>
      <x:c r="B10" t="str">
        <x:v>Cloud Starter Plan</x:v>
      </x:c>
      <x:c r="C10" t="str">
        <x:v>Services</x:v>
      </x:c>
      <x:c r="D10" t="n">
        <x:v>180</x:v>
      </x:c>
      <x:c r="E10" t="n">
        <x:v>65</x:v>
      </x:c>
    </x:row>
    <x:row r="11">
      <x:c r="A11" t="str">
        <x:v>P010</x:v>
      </x:c>
      <x:c r="B11" t="str">
        <x:v>Support Package</x:v>
      </x:c>
      <x:c r="C11" t="str">
        <x:v>Services</x:v>
      </x:c>
      <x:c r="D11" t="n">
        <x:v>240</x:v>
      </x:c>
      <x:c r="E11" t="n">
        <x:v>95</x:v>
      </x:c>
    </x:row>
    <x:row r="12">
      <x:c r="A12" t="str">
        <x:v>P011</x:v>
      </x:c>
      <x:c r="B12" t="str">
        <x:v>Data Cleanup Service</x:v>
      </x:c>
      <x:c r="C12" t="str">
        <x:v>Services</x:v>
      </x:c>
      <x:c r="D12" t="n">
        <x:v>320</x:v>
      </x:c>
      <x:c r="E12" t="n">
        <x:v>140</x:v>
      </x:c>
    </x:row>
    <x:row r="13">
      <x:c r="A13" t="str">
        <x:v>P012</x:v>
      </x:c>
      <x:c r="B13" t="str">
        <x:v>Dashboard Setup</x:v>
      </x:c>
      <x:c r="C13" t="str">
        <x:v>Services</x:v>
      </x:c>
      <x:c r="D13" t="n">
        <x:v>450</x:v>
      </x:c>
      <x:c r="E13" t="n">
        <x:v>205</x:v>
      </x:c>
    </x:row>
  </x:sheetData>
  <x:pageMargins left="0.7" right="0.7" top="0.75" bottom="0.75" header="0.3" footer="0.3"/>
  <x:tableParts count="1">
    <x:tablePart xmlns:r="http://schemas.openxmlformats.org/officeDocument/2006/relationships" r:id="R9d7e33d203484eb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.880000114440918" hidden="0" customWidth="1"/>
    <x:col min="2" max="2" width="8.25" hidden="0" customWidth="1"/>
    <x:col min="3" max="3" width="11.630000114440918" hidden="0" customWidth="1"/>
  </x:cols>
  <x:sheetData>
    <x:row r="1">
      <x:c r="A1" s="5" t="str">
        <x:v>MonthStart</x:v>
      </x:c>
      <x:c r="B1" s="5" t="str">
        <x:v>Region</x:v>
      </x:c>
      <x:c r="C1" s="5" t="str">
        <x:v>SalesTarget</x:v>
      </x:c>
    </x:row>
    <x:row r="2">
      <x:c r="A2" s="10" t="n">
        <x:v>46023</x:v>
      </x:c>
      <x:c r="B2" t="str">
        <x:v>North</x:v>
      </x:c>
      <x:c r="C2" s="14" t="n">
        <x:v>15000</x:v>
      </x:c>
    </x:row>
    <x:row r="3">
      <x:c r="A3" s="10" t="n">
        <x:v>46023</x:v>
      </x:c>
      <x:c r="B3" t="str">
        <x:v>South</x:v>
      </x:c>
      <x:c r="C3" s="14" t="n">
        <x:v>13000</x:v>
      </x:c>
    </x:row>
    <x:row r="4">
      <x:c r="A4" s="10" t="n">
        <x:v>46023</x:v>
      </x:c>
      <x:c r="B4" t="str">
        <x:v>East</x:v>
      </x:c>
      <x:c r="C4" s="14" t="n">
        <x:v>14500</x:v>
      </x:c>
    </x:row>
    <x:row r="5">
      <x:c r="A5" s="10" t="n">
        <x:v>46023</x:v>
      </x:c>
      <x:c r="B5" t="str">
        <x:v>West</x:v>
      </x:c>
      <x:c r="C5" s="14" t="n">
        <x:v>14000</x:v>
      </x:c>
    </x:row>
    <x:row r="6">
      <x:c r="A6" s="10" t="n">
        <x:v>46054</x:v>
      </x:c>
      <x:c r="B6" t="str">
        <x:v>North</x:v>
      </x:c>
      <x:c r="C6" s="14" t="n">
        <x:v>15450</x:v>
      </x:c>
    </x:row>
    <x:row r="7">
      <x:c r="A7" s="10" t="n">
        <x:v>46054</x:v>
      </x:c>
      <x:c r="B7" t="str">
        <x:v>South</x:v>
      </x:c>
      <x:c r="C7" s="14" t="n">
        <x:v>13450</x:v>
      </x:c>
    </x:row>
    <x:row r="8">
      <x:c r="A8" s="10" t="n">
        <x:v>46054</x:v>
      </x:c>
      <x:c r="B8" t="str">
        <x:v>East</x:v>
      </x:c>
      <x:c r="C8" s="14" t="n">
        <x:v>14950</x:v>
      </x:c>
    </x:row>
    <x:row r="9">
      <x:c r="A9" s="10" t="n">
        <x:v>46054</x:v>
      </x:c>
      <x:c r="B9" t="str">
        <x:v>West</x:v>
      </x:c>
      <x:c r="C9" s="14" t="n">
        <x:v>14450</x:v>
      </x:c>
    </x:row>
    <x:row r="10">
      <x:c r="A10" s="10" t="n">
        <x:v>46082</x:v>
      </x:c>
      <x:c r="B10" t="str">
        <x:v>North</x:v>
      </x:c>
      <x:c r="C10" s="14" t="n">
        <x:v>15900</x:v>
      </x:c>
    </x:row>
    <x:row r="11">
      <x:c r="A11" s="10" t="n">
        <x:v>46082</x:v>
      </x:c>
      <x:c r="B11" t="str">
        <x:v>South</x:v>
      </x:c>
      <x:c r="C11" s="14" t="n">
        <x:v>13900</x:v>
      </x:c>
    </x:row>
    <x:row r="12">
      <x:c r="A12" s="10" t="n">
        <x:v>46082</x:v>
      </x:c>
      <x:c r="B12" t="str">
        <x:v>East</x:v>
      </x:c>
      <x:c r="C12" s="14" t="n">
        <x:v>15400</x:v>
      </x:c>
    </x:row>
    <x:row r="13">
      <x:c r="A13" s="10" t="n">
        <x:v>46082</x:v>
      </x:c>
      <x:c r="B13" t="str">
        <x:v>West</x:v>
      </x:c>
      <x:c r="C13" s="14" t="n">
        <x:v>14900</x:v>
      </x:c>
    </x:row>
    <x:row r="14">
      <x:c r="A14" s="10" t="n">
        <x:v>46113</x:v>
      </x:c>
      <x:c r="B14" t="str">
        <x:v>North</x:v>
      </x:c>
      <x:c r="C14" s="14" t="n">
        <x:v>16350</x:v>
      </x:c>
    </x:row>
    <x:row r="15">
      <x:c r="A15" s="10" t="n">
        <x:v>46113</x:v>
      </x:c>
      <x:c r="B15" t="str">
        <x:v>South</x:v>
      </x:c>
      <x:c r="C15" s="14" t="n">
        <x:v>14350</x:v>
      </x:c>
    </x:row>
    <x:row r="16">
      <x:c r="A16" s="10" t="n">
        <x:v>46113</x:v>
      </x:c>
      <x:c r="B16" t="str">
        <x:v>East</x:v>
      </x:c>
      <x:c r="C16" s="14" t="n">
        <x:v>15850</x:v>
      </x:c>
    </x:row>
    <x:row r="17">
      <x:c r="A17" s="10" t="n">
        <x:v>46113</x:v>
      </x:c>
      <x:c r="B17" t="str">
        <x:v>West</x:v>
      </x:c>
      <x:c r="C17" s="14" t="n">
        <x:v>15350</x:v>
      </x:c>
    </x:row>
    <x:row r="18">
      <x:c r="A18" s="10" t="n">
        <x:v>46143</x:v>
      </x:c>
      <x:c r="B18" t="str">
        <x:v>North</x:v>
      </x:c>
      <x:c r="C18" s="14" t="n">
        <x:v>16800</x:v>
      </x:c>
    </x:row>
    <x:row r="19">
      <x:c r="A19" s="10" t="n">
        <x:v>46143</x:v>
      </x:c>
      <x:c r="B19" t="str">
        <x:v>South</x:v>
      </x:c>
      <x:c r="C19" s="14" t="n">
        <x:v>14800</x:v>
      </x:c>
    </x:row>
    <x:row r="20">
      <x:c r="A20" s="10" t="n">
        <x:v>46143</x:v>
      </x:c>
      <x:c r="B20" t="str">
        <x:v>East</x:v>
      </x:c>
      <x:c r="C20" s="14" t="n">
        <x:v>16300</x:v>
      </x:c>
    </x:row>
    <x:row r="21">
      <x:c r="A21" s="10" t="n">
        <x:v>46143</x:v>
      </x:c>
      <x:c r="B21" t="str">
        <x:v>West</x:v>
      </x:c>
      <x:c r="C21" s="14" t="n">
        <x:v>15800</x:v>
      </x:c>
    </x:row>
    <x:row r="22">
      <x:c r="A22" s="10" t="n">
        <x:v>46174</x:v>
      </x:c>
      <x:c r="B22" t="str">
        <x:v>North</x:v>
      </x:c>
      <x:c r="C22" s="14" t="n">
        <x:v>17250</x:v>
      </x:c>
    </x:row>
    <x:row r="23">
      <x:c r="A23" s="10" t="n">
        <x:v>46174</x:v>
      </x:c>
      <x:c r="B23" t="str">
        <x:v>South</x:v>
      </x:c>
      <x:c r="C23" s="14" t="n">
        <x:v>15250</x:v>
      </x:c>
    </x:row>
    <x:row r="24">
      <x:c r="A24" s="10" t="n">
        <x:v>46174</x:v>
      </x:c>
      <x:c r="B24" t="str">
        <x:v>East</x:v>
      </x:c>
      <x:c r="C24" s="14" t="n">
        <x:v>16750</x:v>
      </x:c>
    </x:row>
    <x:row r="25">
      <x:c r="A25" s="10" t="n">
        <x:v>46174</x:v>
      </x:c>
      <x:c r="B25" t="str">
        <x:v>West</x:v>
      </x:c>
      <x:c r="C25" s="14" t="n">
        <x:v>16250</x:v>
      </x:c>
    </x:row>
    <x:row r="26">
      <x:c r="A26" s="10" t="n">
        <x:v>46204</x:v>
      </x:c>
      <x:c r="B26" t="str">
        <x:v>North</x:v>
      </x:c>
      <x:c r="C26" s="14" t="n">
        <x:v>17700</x:v>
      </x:c>
    </x:row>
    <x:row r="27">
      <x:c r="A27" s="10" t="n">
        <x:v>46204</x:v>
      </x:c>
      <x:c r="B27" t="str">
        <x:v>South</x:v>
      </x:c>
      <x:c r="C27" s="14" t="n">
        <x:v>15700</x:v>
      </x:c>
    </x:row>
    <x:row r="28">
      <x:c r="A28" s="10" t="n">
        <x:v>46204</x:v>
      </x:c>
      <x:c r="B28" t="str">
        <x:v>East</x:v>
      </x:c>
      <x:c r="C28" s="14" t="n">
        <x:v>17200</x:v>
      </x:c>
    </x:row>
    <x:row r="29">
      <x:c r="A29" s="10" t="n">
        <x:v>46204</x:v>
      </x:c>
      <x:c r="B29" t="str">
        <x:v>West</x:v>
      </x:c>
      <x:c r="C29" s="14" t="n">
        <x:v>16700</x:v>
      </x:c>
    </x:row>
    <x:row r="30">
      <x:c r="A30" s="10" t="n">
        <x:v>46235</x:v>
      </x:c>
      <x:c r="B30" t="str">
        <x:v>North</x:v>
      </x:c>
      <x:c r="C30" s="14" t="n">
        <x:v>18150</x:v>
      </x:c>
    </x:row>
    <x:row r="31">
      <x:c r="A31" s="10" t="n">
        <x:v>46235</x:v>
      </x:c>
      <x:c r="B31" t="str">
        <x:v>South</x:v>
      </x:c>
      <x:c r="C31" s="14" t="n">
        <x:v>16150</x:v>
      </x:c>
    </x:row>
    <x:row r="32">
      <x:c r="A32" s="10" t="n">
        <x:v>46235</x:v>
      </x:c>
      <x:c r="B32" t="str">
        <x:v>East</x:v>
      </x:c>
      <x:c r="C32" s="14" t="n">
        <x:v>17650</x:v>
      </x:c>
    </x:row>
    <x:row r="33">
      <x:c r="A33" s="10" t="n">
        <x:v>46235</x:v>
      </x:c>
      <x:c r="B33" t="str">
        <x:v>West</x:v>
      </x:c>
      <x:c r="C33" s="14" t="n">
        <x:v>17150</x:v>
      </x:c>
    </x:row>
    <x:row r="34">
      <x:c r="A34" s="10" t="n">
        <x:v>46266</x:v>
      </x:c>
      <x:c r="B34" t="str">
        <x:v>North</x:v>
      </x:c>
      <x:c r="C34" s="14" t="n">
        <x:v>18600</x:v>
      </x:c>
    </x:row>
    <x:row r="35">
      <x:c r="A35" s="10" t="n">
        <x:v>46266</x:v>
      </x:c>
      <x:c r="B35" t="str">
        <x:v>South</x:v>
      </x:c>
      <x:c r="C35" s="14" t="n">
        <x:v>16600</x:v>
      </x:c>
    </x:row>
    <x:row r="36">
      <x:c r="A36" s="10" t="n">
        <x:v>46266</x:v>
      </x:c>
      <x:c r="B36" t="str">
        <x:v>East</x:v>
      </x:c>
      <x:c r="C36" s="14" t="n">
        <x:v>18100</x:v>
      </x:c>
    </x:row>
    <x:row r="37">
      <x:c r="A37" s="10" t="n">
        <x:v>46266</x:v>
      </x:c>
      <x:c r="B37" t="str">
        <x:v>West</x:v>
      </x:c>
      <x:c r="C37" s="14" t="n">
        <x:v>17600</x:v>
      </x:c>
    </x:row>
    <x:row r="38">
      <x:c r="A38" s="10" t="n">
        <x:v>46296</x:v>
      </x:c>
      <x:c r="B38" t="str">
        <x:v>North</x:v>
      </x:c>
      <x:c r="C38" s="14" t="n">
        <x:v>19050</x:v>
      </x:c>
    </x:row>
    <x:row r="39">
      <x:c r="A39" s="10" t="n">
        <x:v>46296</x:v>
      </x:c>
      <x:c r="B39" t="str">
        <x:v>South</x:v>
      </x:c>
      <x:c r="C39" s="14" t="n">
        <x:v>17050</x:v>
      </x:c>
    </x:row>
    <x:row r="40">
      <x:c r="A40" s="10" t="n">
        <x:v>46296</x:v>
      </x:c>
      <x:c r="B40" t="str">
        <x:v>East</x:v>
      </x:c>
      <x:c r="C40" s="14" t="n">
        <x:v>18550</x:v>
      </x:c>
    </x:row>
    <x:row r="41">
      <x:c r="A41" s="10" t="n">
        <x:v>46296</x:v>
      </x:c>
      <x:c r="B41" t="str">
        <x:v>West</x:v>
      </x:c>
      <x:c r="C41" s="14" t="n">
        <x:v>18050</x:v>
      </x:c>
    </x:row>
    <x:row r="42">
      <x:c r="A42" s="10" t="n">
        <x:v>46327</x:v>
      </x:c>
      <x:c r="B42" t="str">
        <x:v>North</x:v>
      </x:c>
      <x:c r="C42" s="14" t="n">
        <x:v>19500</x:v>
      </x:c>
    </x:row>
    <x:row r="43">
      <x:c r="A43" s="10" t="n">
        <x:v>46327</x:v>
      </x:c>
      <x:c r="B43" t="str">
        <x:v>South</x:v>
      </x:c>
      <x:c r="C43" s="14" t="n">
        <x:v>17500</x:v>
      </x:c>
    </x:row>
    <x:row r="44">
      <x:c r="A44" s="10" t="n">
        <x:v>46327</x:v>
      </x:c>
      <x:c r="B44" t="str">
        <x:v>East</x:v>
      </x:c>
      <x:c r="C44" s="14" t="n">
        <x:v>19000</x:v>
      </x:c>
    </x:row>
    <x:row r="45">
      <x:c r="A45" s="10" t="n">
        <x:v>46327</x:v>
      </x:c>
      <x:c r="B45" t="str">
        <x:v>West</x:v>
      </x:c>
      <x:c r="C45" s="14" t="n">
        <x:v>18500</x:v>
      </x:c>
    </x:row>
    <x:row r="46">
      <x:c r="A46" s="10" t="n">
        <x:v>46357</x:v>
      </x:c>
      <x:c r="B46" t="str">
        <x:v>North</x:v>
      </x:c>
      <x:c r="C46" s="14" t="n">
        <x:v>19950</x:v>
      </x:c>
    </x:row>
    <x:row r="47">
      <x:c r="A47" s="10" t="n">
        <x:v>46357</x:v>
      </x:c>
      <x:c r="B47" t="str">
        <x:v>South</x:v>
      </x:c>
      <x:c r="C47" s="14" t="n">
        <x:v>17950</x:v>
      </x:c>
    </x:row>
    <x:row r="48">
      <x:c r="A48" s="10" t="n">
        <x:v>46357</x:v>
      </x:c>
      <x:c r="B48" t="str">
        <x:v>East</x:v>
      </x:c>
      <x:c r="C48" s="14" t="n">
        <x:v>19450</x:v>
      </x:c>
    </x:row>
    <x:row r="49">
      <x:c r="A49" s="10" t="n">
        <x:v>46357</x:v>
      </x:c>
      <x:c r="B49" t="str">
        <x:v>West</x:v>
      </x:c>
      <x:c r="C49" s="14" t="n">
        <x:v>18950</x:v>
      </x:c>
    </x:row>
  </x:sheetData>
  <x:pageMargins left="0.7" right="0.7" top="0.75" bottom="0.75" header="0.3" footer="0.3"/>
  <x:tableParts count="1">
    <x:tablePart xmlns:r="http://schemas.openxmlformats.org/officeDocument/2006/relationships" r:id="R38a9865e88a54fa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55.630001068115234" hidden="0" customWidth="1"/>
    <x:col min="2" max="2" width="9.880000114440918" hidden="0" customWidth="1"/>
    <x:col min="3" max="3" width="5.630000114440918" hidden="0" customWidth="1"/>
    <x:col min="4" max="4" width="6.630000114440918" hidden="0" customWidth="1"/>
    <x:col min="5" max="5" width="9.880000114440918" hidden="0" customWidth="1"/>
    <x:col min="6" max="6" width="8.880000114440918" hidden="0" customWidth="1"/>
    <x:col min="7" max="7" width="5.75" hidden="0" customWidth="1"/>
  </x:cols>
  <x:sheetData>
    <x:row r="1">
      <x:c r="A1" s="17" t="str">
        <x:v>POWER BI PRACTICE - BUSINESS SALES SUMMARY</x:v>
      </x:c>
      <x:c r="B1" s="17"/>
      <x:c r="C1" s="17"/>
      <x:c r="D1" s="17"/>
      <x:c r="E1" s="17"/>
      <x:c r="F1" s="17"/>
      <x:c r="G1" s="17"/>
      <x:c r="H1" s="17"/>
    </x:row>
    <x:row r="3">
      <x:c r="A3" s="5" t="str">
        <x:v>KPI</x:v>
      </x:c>
      <x:c r="B3" s="5" t="str">
        <x:v>Value</x:v>
      </x:c>
      <x:c r="D3" s="5" t="str">
        <x:v>Region</x:v>
      </x:c>
      <x:c r="E3" s="5" t="str">
        <x:v>Sales</x:v>
      </x:c>
      <x:c r="F3" s="5" t="str">
        <x:v>Profit</x:v>
      </x:c>
      <x:c r="G3" s="5" t="str">
        <x:v>Orders</x:v>
      </x:c>
    </x:row>
    <x:row r="4">
      <x:c r="A4" t="str">
        <x:v>Total Sales</x:v>
      </x:c>
      <x:c r="B4" s="12" t="n">
        <x:f>SUM(SalesData!M2:M241)</x:f>
        <x:v>126928.55999999998</x:v>
      </x:c>
      <x:c r="D4" t="str">
        <x:v>North</x:v>
      </x:c>
      <x:c r="E4" s="12" t="n">
        <x:f>SUMIF(SalesData!F$2:F$241,D4,SalesData!M$2:M$241)</x:f>
        <x:v>32034.600000000002</x:v>
      </x:c>
      <x:c r="F4" s="12" t="n">
        <x:f>SUMIF(SalesData!F$2:F$241,D4,SalesData!O$2:O$241)</x:f>
        <x:v>16145.599999999999</x:v>
      </x:c>
      <x:c r="G4" t="n">
        <x:f>COUNTIF(SalesData!F$2:F$241,D4)</x:f>
        <x:v>56</x:v>
      </x:c>
    </x:row>
    <x:row r="5">
      <x:c r="A5" t="str">
        <x:v>Total Cost</x:v>
      </x:c>
      <x:c r="B5" s="12" t="n">
        <x:f>SUM(SalesData!N2:N241)</x:f>
        <x:v>68031</x:v>
      </x:c>
      <x:c r="D5" t="str">
        <x:v>South</x:v>
      </x:c>
      <x:c r="E5" s="12" t="n">
        <x:f>SUMIF(SalesData!F$2:F$241,D5,SalesData!M$2:M$241)</x:f>
        <x:v>31063.960000000003</x:v>
      </x:c>
      <x:c r="F5" s="12" t="n">
        <x:f>SUMIF(SalesData!F$2:F$241,D5,SalesData!O$2:O$241)</x:f>
        <x:v>13898.96</x:v>
      </x:c>
      <x:c r="G5" t="n">
        <x:f>COUNTIF(SalesData!F$2:F$241,D5)</x:f>
        <x:v>62</x:v>
      </x:c>
    </x:row>
    <x:row r="6">
      <x:c r="A6" t="str">
        <x:v>Total Profit</x:v>
      </x:c>
      <x:c r="B6" s="12" t="n">
        <x:f>SUM(SalesData!O2:O241)</x:f>
        <x:v>58897.56000000001</x:v>
      </x:c>
      <x:c r="D6" t="str">
        <x:v>East</x:v>
      </x:c>
      <x:c r="E6" s="12" t="n">
        <x:f>SUMIF(SalesData!F$2:F$241,D6,SalesData!M$2:M$241)</x:f>
        <x:v>34213.08</x:v>
      </x:c>
      <x:c r="F6" s="12" t="n">
        <x:f>SUMIF(SalesData!F$2:F$241,D6,SalesData!O$2:O$241)</x:f>
        <x:v>14868.080000000002</x:v>
      </x:c>
      <x:c r="G6" t="n">
        <x:f>COUNTIF(SalesData!F$2:F$241,D6)</x:f>
        <x:v>64</x:v>
      </x:c>
    </x:row>
    <x:row r="7">
      <x:c r="A7" t="str">
        <x:v>Orders</x:v>
      </x:c>
      <x:c r="B7" t="n">
        <x:f>COUNTA(SalesData!A2:A241)</x:f>
        <x:v>240</x:v>
      </x:c>
      <x:c r="D7" t="str">
        <x:v>West</x:v>
      </x:c>
      <x:c r="E7" s="12" t="n">
        <x:f>SUMIF(SalesData!F$2:F$241,D7,SalesData!M$2:M$241)</x:f>
        <x:v>29616.920000000002</x:v>
      </x:c>
      <x:c r="F7" s="12" t="n">
        <x:f>SUMIF(SalesData!F$2:F$241,D7,SalesData!O$2:O$241)</x:f>
        <x:v>13984.92</x:v>
      </x:c>
      <x:c r="G7" t="n">
        <x:f>COUNTIF(SalesData!F$2:F$241,D7)</x:f>
        <x:v>58</x:v>
      </x:c>
    </x:row>
    <x:row r="8">
      <x:c r="A8" t="str">
        <x:v>Average Order Value</x:v>
      </x:c>
      <x:c r="B8" s="12" t="n">
        <x:f>B4/B7</x:f>
        <x:v>528.8689999999999</x:v>
      </x:c>
      <x:c r="D8" t="str">
        <x:v>TOTAL</x:v>
      </x:c>
      <x:c r="E8" s="12" t="n">
        <x:f>SUM(E4:E7)</x:f>
        <x:v>126928.56000000001</x:v>
      </x:c>
      <x:c r="F8" s="12" t="n">
        <x:f>SUM(F4:F7)</x:f>
        <x:v>58897.56</x:v>
      </x:c>
      <x:c r="G8" t="n">
        <x:f>SUM(G4:G7)</x:f>
        <x:v>240</x:v>
      </x:c>
    </x:row>
    <x:row r="11">
      <x:c r="A11" s="5" t="str">
        <x:v>Month</x:v>
      </x:c>
      <x:c r="B11" s="5" t="str">
        <x:v>Sales</x:v>
      </x:c>
      <x:c r="C11" s="5" t="str">
        <x:v>Profit</x:v>
      </x:c>
      <x:c r="D11" s="5" t="str">
        <x:v>Target</x:v>
      </x:c>
    </x:row>
    <x:row r="12">
      <x:c r="A12" s="34" t="str">
        <x:v>Jan</x:v>
      </x:c>
      <x:c r="B12" s="14" t="n">
        <x:f>SUMIFS(SalesData!M$2:M$241,SalesData!B$2:B$241,"&gt;="&amp;DATE(2026,1,1),SalesData!B$2:B$241,"&lt;"&amp;DATE(2026,2,1))</x:f>
        <x:v>15495.04</x:v>
      </x:c>
      <x:c r="C12" s="14" t="n">
        <x:f>SUMIFS(SalesData!O$2:O$241,SalesData!B$2:B$241,"&gt;="&amp;DATE(2026,1,1),SalesData!B$2:B$241,"&lt;"&amp;DATE(2026,2,1))</x:f>
        <x:v>7417.04</x:v>
      </x:c>
      <x:c r="D12" s="14" t="n">
        <x:f>SUM(Targets!C2:C5)</x:f>
        <x:v>56500</x:v>
      </x:c>
    </x:row>
    <x:row r="13">
      <x:c r="A13" s="34" t="str">
        <x:v>Feb</x:v>
      </x:c>
      <x:c r="B13" s="14" t="n">
        <x:f>SUMIFS(SalesData!M$2:M$241,SalesData!B$2:B$241,"&gt;="&amp;DATE(2026,2,1),SalesData!B$2:B$241,"&lt;"&amp;DATE(2026,3,1))</x:f>
        <x:v>13625.72</x:v>
      </x:c>
      <x:c r="C13" s="14" t="n">
        <x:f>SUMIFS(SalesData!O$2:O$241,SalesData!B$2:B$241,"&gt;="&amp;DATE(2026,2,1),SalesData!B$2:B$241,"&lt;"&amp;DATE(2026,3,1))</x:f>
        <x:v>6636.72</x:v>
      </x:c>
      <x:c r="D13" s="14" t="n">
        <x:f>SUM(Targets!C6:C9)</x:f>
        <x:v>58300</x:v>
      </x:c>
    </x:row>
    <x:row r="14">
      <x:c r="A14" s="34" t="str">
        <x:v>Mar</x:v>
      </x:c>
      <x:c r="B14" s="14" t="n">
        <x:f>SUMIFS(SalesData!M$2:M$241,SalesData!B$2:B$241,"&gt;="&amp;DATE(2026,3,1),SalesData!B$2:B$241,"&lt;"&amp;DATE(2026,4,1))</x:f>
        <x:v>9236.8</x:v>
      </x:c>
      <x:c r="C14" s="14" t="n">
        <x:f>SUMIFS(SalesData!O$2:O$241,SalesData!B$2:B$241,"&gt;="&amp;DATE(2026,3,1),SalesData!B$2:B$241,"&lt;"&amp;DATE(2026,4,1))</x:f>
        <x:v>3726.8</x:v>
      </x:c>
      <x:c r="D14" s="14" t="n">
        <x:f>SUM(Targets!C10:C13)</x:f>
        <x:v>60100</x:v>
      </x:c>
    </x:row>
    <x:row r="15">
      <x:c r="A15" s="34" t="str">
        <x:v>Apr</x:v>
      </x:c>
      <x:c r="B15" s="14" t="n">
        <x:f>SUMIFS(SalesData!M$2:M$241,SalesData!B$2:B$241,"&gt;="&amp;DATE(2026,4,1),SalesData!B$2:B$241,"&lt;"&amp;DATE(2026,5,1))</x:f>
        <x:v>8717.48</x:v>
      </x:c>
      <x:c r="C15" s="14" t="n">
        <x:f>SUMIFS(SalesData!O$2:O$241,SalesData!B$2:B$241,"&gt;="&amp;DATE(2026,4,1),SalesData!B$2:B$241,"&lt;"&amp;DATE(2026,5,1))</x:f>
        <x:v>4110.48</x:v>
      </x:c>
      <x:c r="D15" s="14" t="n">
        <x:f>SUM(Targets!C14:C17)</x:f>
        <x:v>61900</x:v>
      </x:c>
    </x:row>
    <x:row r="16">
      <x:c r="A16" s="34" t="str">
        <x:v>May</x:v>
      </x:c>
      <x:c r="B16" s="14" t="n">
        <x:f>SUMIFS(SalesData!M$2:M$241,SalesData!B$2:B$241,"&gt;="&amp;DATE(2026,5,1),SalesData!B$2:B$241,"&lt;"&amp;DATE(2026,6,1))</x:f>
        <x:v>7396.92</x:v>
      </x:c>
      <x:c r="C16" s="14" t="n">
        <x:f>SUMIFS(SalesData!O$2:O$241,SalesData!B$2:B$241,"&gt;="&amp;DATE(2026,5,1),SalesData!B$2:B$241,"&lt;"&amp;DATE(2026,6,1))</x:f>
        <x:v>3327.92</x:v>
      </x:c>
      <x:c r="D16" s="14" t="n">
        <x:f>SUM(Targets!C18:C21)</x:f>
        <x:v>63700</x:v>
      </x:c>
    </x:row>
    <x:row r="17">
      <x:c r="A17" s="34" t="str">
        <x:v>Jun</x:v>
      </x:c>
      <x:c r="B17" s="14" t="n">
        <x:f>SUMIFS(SalesData!M$2:M$241,SalesData!B$2:B$241,"&gt;="&amp;DATE(2026,6,1),SalesData!B$2:B$241,"&lt;"&amp;DATE(2026,7,1))</x:f>
        <x:v>11054.6</x:v>
      </x:c>
      <x:c r="C17" s="14" t="n">
        <x:f>SUMIFS(SalesData!O$2:O$241,SalesData!B$2:B$241,"&gt;="&amp;DATE(2026,6,1),SalesData!B$2:B$241,"&lt;"&amp;DATE(2026,7,1))</x:f>
        <x:v>5456.6</x:v>
      </x:c>
      <x:c r="D17" s="14" t="n">
        <x:f>SUM(Targets!C22:C25)</x:f>
        <x:v>65500</x:v>
      </x:c>
    </x:row>
    <x:row r="18">
      <x:c r="A18" s="34" t="str">
        <x:v>Jul</x:v>
      </x:c>
      <x:c r="B18" s="14" t="n">
        <x:f>SUMIFS(SalesData!M$2:M$241,SalesData!B$2:B$241,"&gt;="&amp;DATE(2026,7,1),SalesData!B$2:B$241,"&lt;"&amp;DATE(2026,8,1))</x:f>
        <x:v>10578.2</x:v>
      </x:c>
      <x:c r="C18" s="14" t="n">
        <x:f>SUMIFS(SalesData!O$2:O$241,SalesData!B$2:B$241,"&gt;="&amp;DATE(2026,7,1),SalesData!B$2:B$241,"&lt;"&amp;DATE(2026,8,1))</x:f>
        <x:v>4911.2</x:v>
      </x:c>
      <x:c r="D18" s="14" t="n">
        <x:f>SUM(Targets!C26:C29)</x:f>
        <x:v>67300</x:v>
      </x:c>
    </x:row>
    <x:row r="19">
      <x:c r="A19" s="34" t="str">
        <x:v>Aug</x:v>
      </x:c>
      <x:c r="B19" s="14" t="n">
        <x:f>SUMIFS(SalesData!M$2:M$241,SalesData!B$2:B$241,"&gt;="&amp;DATE(2026,8,1),SalesData!B$2:B$241,"&lt;"&amp;DATE(2026,9,1))</x:f>
        <x:v>9357.84</x:v>
      </x:c>
      <x:c r="C19" s="14" t="n">
        <x:f>SUMIFS(SalesData!O$2:O$241,SalesData!B$2:B$241,"&gt;="&amp;DATE(2026,8,1),SalesData!B$2:B$241,"&lt;"&amp;DATE(2026,9,1))</x:f>
        <x:v>4291.84</x:v>
      </x:c>
      <x:c r="D19" s="14" t="n">
        <x:f>SUM(Targets!C30:C33)</x:f>
        <x:v>69100</x:v>
      </x:c>
    </x:row>
    <x:row r="20">
      <x:c r="A20" s="34" t="str">
        <x:v>Sep</x:v>
      </x:c>
      <x:c r="B20" s="14" t="n">
        <x:f>SUMIFS(SalesData!M$2:M$241,SalesData!B$2:B$241,"&gt;="&amp;DATE(2026,9,1),SalesData!B$2:B$241,"&lt;"&amp;DATE(2026,10,1))</x:f>
        <x:v>11962.28</x:v>
      </x:c>
      <x:c r="C20" s="14" t="n">
        <x:f>SUMIFS(SalesData!O$2:O$241,SalesData!B$2:B$241,"&gt;="&amp;DATE(2026,9,1),SalesData!B$2:B$241,"&lt;"&amp;DATE(2026,10,1))</x:f>
        <x:v>5203.28</x:v>
      </x:c>
      <x:c r="D20" s="14" t="n">
        <x:f>SUM(Targets!C34:C37)</x:f>
        <x:v>70900</x:v>
      </x:c>
    </x:row>
    <x:row r="21">
      <x:c r="A21" s="34" t="str">
        <x:v>Oct</x:v>
      </x:c>
      <x:c r="B21" s="14" t="n">
        <x:f>SUMIFS(SalesData!M$2:M$241,SalesData!B$2:B$241,"&gt;="&amp;DATE(2026,10,1),SalesData!B$2:B$241,"&lt;"&amp;DATE(2026,11,1))</x:f>
        <x:v>7911.8</x:v>
      </x:c>
      <x:c r="C21" s="14" t="n">
        <x:f>SUMIFS(SalesData!O$2:O$241,SalesData!B$2:B$241,"&gt;="&amp;DATE(2026,10,1),SalesData!B$2:B$241,"&lt;"&amp;DATE(2026,11,1))</x:f>
        <x:v>3851.8</x:v>
      </x:c>
      <x:c r="D21" s="14" t="n">
        <x:f>SUM(Targets!C38:C41)</x:f>
        <x:v>72700</x:v>
      </x:c>
    </x:row>
    <x:row r="22">
      <x:c r="A22" s="34" t="str">
        <x:v>Nov</x:v>
      </x:c>
      <x:c r="B22" s="14" t="n">
        <x:f>SUMIFS(SalesData!M$2:M$241,SalesData!B$2:B$241,"&gt;="&amp;DATE(2026,11,1),SalesData!B$2:B$241,"&lt;"&amp;DATE(2026,12,1))</x:f>
        <x:v>11244</x:v>
      </x:c>
      <x:c r="C22" s="14" t="n">
        <x:f>SUMIFS(SalesData!O$2:O$241,SalesData!B$2:B$241,"&gt;="&amp;DATE(2026,11,1),SalesData!B$2:B$241,"&lt;"&amp;DATE(2026,12,1))</x:f>
        <x:v>5471</x:v>
      </x:c>
      <x:c r="D22" s="14" t="n">
        <x:f>SUM(Targets!C42:C45)</x:f>
        <x:v>74500</x:v>
      </x:c>
    </x:row>
    <x:row r="23">
      <x:c r="A23" s="34" t="str">
        <x:v>Dec</x:v>
      </x:c>
      <x:c r="B23" s="14" t="n">
        <x:f>SUMIFS(SalesData!M$2:M$241,SalesData!B$2:B$241,"&gt;="&amp;DATE(2026,12,1),SalesData!B$2:B$241,"&lt;"&amp;DATE(2027,1,1))</x:f>
        <x:v>10347.88</x:v>
      </x:c>
      <x:c r="C23" s="14" t="n">
        <x:f>SUMIFS(SalesData!O$2:O$241,SalesData!B$2:B$241,"&gt;="&amp;DATE(2026,12,1),SalesData!B$2:B$241,"&lt;"&amp;DATE(2027,1,1))</x:f>
        <x:v>4492.88</x:v>
      </x:c>
      <x:c r="D23" s="14" t="n">
        <x:f>SUM(Targets!C46:C49)</x:f>
        <x:v>76300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66306ec1df6c4292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</x:cols>
  <x:sheetData>
    <x:row r="1">
      <x:c r="A1" s="30" t="str">
        <x:v>RUSHABH SAVAJ - POWER BI PRACTICE DATA</x:v>
      </x:c>
      <x:c r="B1" s="30" t="str"/>
    </x:row>
    <x:row r="2">
      <x:c r="A2" s="31" t="str">
        <x:v>Purpose</x:v>
      </x:c>
      <x:c r="B2" s="32" t="str">
        <x:v>Ready-to-import practice data for Rushabh's first reporting portfolio dashboard.</x:v>
      </x:c>
    </x:row>
    <x:row r="3">
      <x:c r="A3" s="31" t="str">
        <x:v>Save PBIX as</x:v>
      </x:c>
      <x:c r="B3" s="32" t="str">
        <x:v>Rushabh_My_first_bi_dashboard.pbix</x:v>
      </x:c>
    </x:row>
    <x:row r="4">
      <x:c r="A4" s="31" t="str">
        <x:v>Primary table</x:v>
      </x:c>
      <x:c r="B4" s="32" t="str">
        <x:v>SalesData</x:v>
      </x:c>
    </x:row>
    <x:row r="5">
      <x:c r="A5" s="31" t="str">
        <x:v>Supporting tables</x:v>
      </x:c>
      <x:c r="B5" s="32" t="str">
        <x:v>Customers, Products, Targets</x:v>
      </x:c>
    </x:row>
    <x:row r="6">
      <x:c r="A6" s="31" t="str">
        <x:v>Dashboard pages</x:v>
      </x:c>
      <x:c r="B6" s="32" t="str">
        <x:v>Executive Overview; Product Analysis; Customer &amp; Regional Analysis</x:v>
      </x:c>
    </x:row>
    <x:row r="7">
      <x:c r="A7" s="31" t="str">
        <x:v>Core measures</x:v>
      </x:c>
      <x:c r="B7" s="32" t="str">
        <x:v>Total Sales, Total Cost, Total Profit, Profit Margin %, Orders, Customers, Average Order Value, Target Achievement %</x:v>
      </x:c>
    </x:row>
    <x:row r="8">
      <x:c r="A8" s="31" t="str">
        <x:v>Power Query checks</x:v>
      </x:c>
      <x:c r="B8" s="32" t="str">
        <x:v>Data types, blanks, duplicates, consistency, calculated totals and transformation notes</x:v>
      </x:c>
    </x:row>
    <x:row r="9">
      <x:c r="A9" s="31" t="str">
        <x:v>Portfolio evidence</x:v>
      </x:c>
      <x:c r="B9" s="32" t="str">
        <x:v>PBIX, screenshots/PDF, README, five insights and three recommendations</x:v>
      </x:c>
    </x:row>
  </x:sheetData>
  <x:mergeCells>
    <x:mergeCell ref="A1:B1"/>
  </x:mergeCells>
  <x:pageMargins left="0.7" right="0.7" top="0.75" bottom="0.75" header="0.3" footer="0.3"/>
</x:worksheet>
</file>